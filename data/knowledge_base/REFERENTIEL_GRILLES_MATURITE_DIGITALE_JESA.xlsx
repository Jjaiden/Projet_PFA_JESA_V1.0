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PC\Downloads\"/>
    </mc:Choice>
  </mc:AlternateContent>
  <xr:revisionPtr revIDLastSave="0" documentId="13_ncr:1_{16D0A2D8-60AD-4F5A-ACBE-3A1B0230A73E}" xr6:coauthVersionLast="47" xr6:coauthVersionMax="47" xr10:uidLastSave="{00000000-0000-0000-0000-000000000000}"/>
  <bookViews>
    <workbookView xWindow="-110" yWindow="-110" windowWidth="19420" windowHeight="10300" tabRatio="500" activeTab="9" xr2:uid="{00000000-000D-0000-FFFF-FFFF00000000}"/>
  </bookViews>
  <sheets>
    <sheet name="ASSESSMENT_METADATA" sheetId="2" r:id="rId1"/>
    <sheet name="HIERARCHY" sheetId="3" r:id="rId2"/>
    <sheet name="GENERIC_MATURITY_SCALE" sheetId="4" r:id="rId3"/>
    <sheet name="DIMENSION_MATURITY_MATRICES" sheetId="5" r:id="rId4"/>
    <sheet name="TARGET_LEVELS" sheetId="6" r:id="rId5"/>
    <sheet name="WEIGHTS_CONFIGURATION" sheetId="7" r:id="rId6"/>
    <sheet name="INDICATORS" sheetId="8" r:id="rId7"/>
    <sheet name="INDICATOR_SCORING_GRIDS" sheetId="9" r:id="rId8"/>
    <sheet name="EVIDENCE_CATALOG" sheetId="10" r:id="rId9"/>
    <sheet name="QUESTIONNAIRE_TEMPLATE" sheetId="11" r:id="rId10"/>
  </sheets>
  <definedNames>
    <definedName name="_xlnm._FilterDatabase" localSheetId="3" hidden="1">DIMENSION_MATURITY_MATRICES!$A$2:$L$2</definedName>
    <definedName name="_xlnm._FilterDatabase" localSheetId="8" hidden="1">EVIDENCE_CATALOG!$A$2:$H$2</definedName>
    <definedName name="_xlnm._FilterDatabase" localSheetId="1" hidden="1">HIERARCHY!$A$2:$J$2</definedName>
    <definedName name="_xlnm._FilterDatabase" localSheetId="7" hidden="1">INDICATOR_SCORING_GRIDS!$A$2:$J$2</definedName>
    <definedName name="_xlnm._FilterDatabase" localSheetId="6" hidden="1">INDICATORS!$A$2:$O$2</definedName>
    <definedName name="_xlnm._FilterDatabase" localSheetId="9" hidden="1">QUESTIONNAIRE_TEMPLATE!$A$2:$M$2</definedName>
    <definedName name="_xlnm._FilterDatabase" localSheetId="4" hidden="1">TARGET_LEVELS!$A$2:$F$2</definedName>
    <definedName name="_xlnm._FilterDatabase" localSheetId="5" hidden="1">WEIGHTS_CONFIGURATION!$A$2:$J$2</definedName>
    <definedName name="_xlnm.Print_Titles" localSheetId="0">ASSESSMENT_METADATA!$1:$2</definedName>
    <definedName name="_xlnm.Print_Titles" localSheetId="3">DIMENSION_MATURITY_MATRICES!$1:$2</definedName>
    <definedName name="_xlnm.Print_Titles" localSheetId="8">EVIDENCE_CATALOG!$1:$2</definedName>
    <definedName name="_xlnm.Print_Titles" localSheetId="2">GENERIC_MATURITY_SCALE!$1:$2</definedName>
    <definedName name="_xlnm.Print_Titles" localSheetId="1">HIERARCHY!$1:$2</definedName>
    <definedName name="_xlnm.Print_Titles" localSheetId="7">INDICATOR_SCORING_GRIDS!$1:$2</definedName>
    <definedName name="_xlnm.Print_Titles" localSheetId="6">INDICATORS!$1:$2</definedName>
    <definedName name="_xlnm.Print_Titles" localSheetId="9">QUESTIONNAIRE_TEMPLATE!$1:$2</definedName>
    <definedName name="_xlnm.Print_Titles" localSheetId="4">TARGET_LEVELS!$1:$2</definedName>
    <definedName name="_xlnm.Print_Titles" localSheetId="5">WEIGHTS_CONFIGURATION!$1:$2</definedName>
  </definedNames>
  <calcPr calcId="191029"/>
</workbook>
</file>

<file path=xl/calcChain.xml><?xml version="1.0" encoding="utf-8"?>
<calcChain xmlns="http://schemas.openxmlformats.org/spreadsheetml/2006/main">
  <c r="B62" i="11" l="1"/>
  <c r="A62" i="11"/>
  <c r="B61" i="11"/>
  <c r="A61" i="11"/>
  <c r="B60" i="11"/>
  <c r="A60" i="11"/>
  <c r="B59" i="11"/>
  <c r="A59" i="11"/>
  <c r="B58" i="11"/>
  <c r="A58" i="11"/>
  <c r="B57" i="11"/>
  <c r="A57" i="11"/>
  <c r="B56" i="11"/>
  <c r="A56" i="11"/>
  <c r="B55" i="11"/>
  <c r="A55" i="11"/>
  <c r="B54" i="11"/>
  <c r="A54" i="11"/>
  <c r="B53" i="11"/>
  <c r="A53" i="11"/>
  <c r="B52" i="11"/>
  <c r="A52" i="11"/>
  <c r="B51" i="11"/>
  <c r="A51" i="11"/>
  <c r="B50" i="11"/>
  <c r="A50" i="11"/>
  <c r="B49" i="11"/>
  <c r="A49" i="11"/>
  <c r="B48" i="11"/>
  <c r="A48" i="11"/>
  <c r="B47" i="11"/>
  <c r="A47" i="11"/>
  <c r="B46" i="11"/>
  <c r="A46" i="11"/>
  <c r="B45" i="11"/>
  <c r="A45" i="11"/>
  <c r="B44" i="11"/>
  <c r="A44" i="11"/>
  <c r="B43" i="11"/>
  <c r="A43" i="11"/>
  <c r="B42" i="11"/>
  <c r="A42" i="11"/>
  <c r="B41" i="11"/>
  <c r="A41" i="11"/>
  <c r="B40" i="11"/>
  <c r="A40" i="11"/>
  <c r="B39" i="11"/>
  <c r="A39" i="11"/>
  <c r="B38" i="11"/>
  <c r="A38" i="11"/>
  <c r="B37" i="11"/>
  <c r="A37" i="11"/>
  <c r="B36" i="11"/>
  <c r="A36" i="11"/>
  <c r="B35" i="11"/>
  <c r="A35" i="11"/>
  <c r="B34" i="11"/>
  <c r="A34" i="11"/>
  <c r="B33" i="11"/>
  <c r="A33" i="11"/>
  <c r="B32" i="11"/>
  <c r="A32" i="11"/>
  <c r="B31" i="11"/>
  <c r="A31" i="11"/>
  <c r="B30" i="11"/>
  <c r="A30" i="11"/>
  <c r="B29" i="11"/>
  <c r="A29" i="11"/>
  <c r="B28" i="11"/>
  <c r="A28" i="11"/>
  <c r="B27" i="11"/>
  <c r="A27" i="11"/>
  <c r="B26" i="11"/>
  <c r="A26" i="11"/>
  <c r="B25" i="11"/>
  <c r="A25" i="11"/>
  <c r="B24" i="11"/>
  <c r="A24" i="11"/>
  <c r="B23" i="11"/>
  <c r="A23" i="11"/>
  <c r="B22" i="11"/>
  <c r="A22" i="11"/>
  <c r="B21" i="11"/>
  <c r="A21" i="11"/>
  <c r="B20" i="11"/>
  <c r="A20" i="11"/>
  <c r="B19" i="11"/>
  <c r="A19" i="11"/>
  <c r="B18" i="11"/>
  <c r="A18" i="11"/>
  <c r="B17" i="11"/>
  <c r="A17" i="11"/>
  <c r="B16" i="11"/>
  <c r="A16" i="11"/>
  <c r="B15" i="11"/>
  <c r="A15" i="11"/>
  <c r="B14" i="11"/>
  <c r="A14" i="11"/>
  <c r="B13" i="11"/>
  <c r="A13" i="11"/>
  <c r="B12" i="11"/>
  <c r="A12" i="11"/>
  <c r="B11" i="11"/>
  <c r="A11" i="11"/>
  <c r="B10" i="11"/>
  <c r="A10" i="11"/>
  <c r="B9" i="11"/>
  <c r="A9" i="11"/>
  <c r="B8" i="11"/>
  <c r="A8" i="11"/>
  <c r="B7" i="11"/>
  <c r="A7" i="11"/>
  <c r="B6" i="11"/>
  <c r="A6" i="11"/>
  <c r="B5" i="11"/>
  <c r="A5" i="11"/>
  <c r="B4" i="11"/>
  <c r="A4" i="11"/>
  <c r="B3" i="11"/>
  <c r="A3" i="11"/>
  <c r="G37" i="7"/>
  <c r="G36" i="7"/>
  <c r="G35" i="7"/>
  <c r="G34" i="7"/>
  <c r="G33" i="7"/>
  <c r="G32" i="7"/>
  <c r="G31" i="7"/>
  <c r="G30" i="7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5" i="7"/>
  <c r="G4" i="7"/>
  <c r="G3" i="7"/>
  <c r="E12" i="6"/>
  <c r="E11" i="6"/>
  <c r="E10" i="6"/>
  <c r="E9" i="6"/>
  <c r="E8" i="6"/>
  <c r="E7" i="6"/>
  <c r="E6" i="6"/>
  <c r="E5" i="6"/>
  <c r="E4" i="6"/>
  <c r="E3" i="6"/>
</calcChain>
</file>

<file path=xl/sharedStrings.xml><?xml version="1.0" encoding="utf-8"?>
<sst xmlns="http://schemas.openxmlformats.org/spreadsheetml/2006/main" count="6131" uniqueCount="2886">
  <si>
    <t>ASSESSMENT_METADATA — Assessment campaign information</t>
  </si>
  <si>
    <t>Field_Name</t>
  </si>
  <si>
    <t>Field_Value</t>
  </si>
  <si>
    <t>Notes</t>
  </si>
  <si>
    <t>Assessment_ID</t>
  </si>
  <si>
    <t>JESA-ASSESS-001</t>
  </si>
  <si>
    <t>Unique campaign identifier. Format: JESA-ASSESS-NNN</t>
  </si>
  <si>
    <t>Site_ID</t>
  </si>
  <si>
    <t>Identifiant unique du site industriel évalué</t>
  </si>
  <si>
    <t>Site_Name</t>
  </si>
  <si>
    <t>Full site name (ex : Laverie de phosphate Beni Amir)</t>
  </si>
  <si>
    <t>Industrial_Sector</t>
  </si>
  <si>
    <t>Secteur industriel (ex : Minier, Chimie, Agroalimentaire, Énergie)</t>
  </si>
  <si>
    <t>Plant_Unit</t>
  </si>
  <si>
    <t>Unité ou atelier évalué (ex : Unité de lavage, Section broyage)</t>
  </si>
  <si>
    <t>Location</t>
  </si>
  <si>
    <t>Localisation géographique du site</t>
  </si>
  <si>
    <t>Assessment_Date</t>
  </si>
  <si>
    <t>Assessment start date (YYYY-MM-DD)</t>
  </si>
  <si>
    <t>Evaluator_Name</t>
  </si>
  <si>
    <t>Nom complet de l'évaluateur principal</t>
  </si>
  <si>
    <t>Evaluator_Function</t>
  </si>
  <si>
    <t>Fonction et organisation de l'évaluateur</t>
  </si>
  <si>
    <t>Assessment_Version</t>
  </si>
  <si>
    <t>1.0.0</t>
  </si>
  <si>
    <t>Version of this assessment campaign</t>
  </si>
  <si>
    <t>Reference_Framework_Version</t>
  </si>
  <si>
    <t>Version du référentiel JESA utilisé</t>
  </si>
  <si>
    <t>General_Comments</t>
  </si>
  <si>
    <t>General observations on the assessment context</t>
  </si>
  <si>
    <t>HIERARCHY — Reference framework architecture (20 sub-dimensions)</t>
  </si>
  <si>
    <t>Pillar_ID</t>
  </si>
  <si>
    <t>Pillar_Name</t>
  </si>
  <si>
    <t>Dimension_ID</t>
  </si>
  <si>
    <t>Dimension_Name</t>
  </si>
  <si>
    <t>Subdimension_ID</t>
  </si>
  <si>
    <t>Subdimension_Name</t>
  </si>
  <si>
    <t>Dimension_Objective</t>
  </si>
  <si>
    <t>Subdimension_Objective</t>
  </si>
  <si>
    <t>Industrial_Capability</t>
  </si>
  <si>
    <t>Main_Risks_If_Weak</t>
  </si>
  <si>
    <t>P1</t>
  </si>
  <si>
    <t>Digital Infrastructure</t>
  </si>
  <si>
    <t>D1</t>
  </si>
  <si>
    <t>OT/IT Infrastructure</t>
  </si>
  <si>
    <t>SD1.1</t>
  </si>
  <si>
    <t>OT Network &amp; Availability</t>
  </si>
  <si>
    <t>Ensure the robustness, availability and resilience of the site's OT/IT digital infrastructure</t>
  </si>
  <si>
    <t>Evaluate network coverage, redundancy and availability of OT infrastructures on site</t>
  </si>
  <si>
    <t>Redundant industrial network, availability ≥ 99.5%, L0-L2 segmentation</t>
  </si>
  <si>
    <t>Undetected network failure, uncontrolled production loss, absence of redundancy</t>
  </si>
  <si>
    <t>SD1.2</t>
  </si>
  <si>
    <t>Server Infrastructure &amp; Virtualization</t>
  </si>
  <si>
    <t>Ensure the reliability and scalability of OT server infrastructure</t>
  </si>
  <si>
    <t>Evaluate server virtualization, available capacity and backup capability</t>
  </si>
  <si>
    <t>Virtualized OT servers, spare capacity ≥ 30%, tested DRP</t>
  </si>
  <si>
    <t>Unplanned server shutdown, data loss, inability to deploy new applications</t>
  </si>
  <si>
    <t>D2</t>
  </si>
  <si>
    <t>Connectivity &amp; Protocols</t>
  </si>
  <si>
    <t>SD2.1</t>
  </si>
  <si>
    <t>Standardized Industrial Protocols</t>
  </si>
  <si>
    <t>Enable interoperability between field systems and upper-level systems through standard protocols</t>
  </si>
  <si>
    <t>Evaluate the standardization level of industrial communication protocols and interface documentation</t>
  </si>
  <si>
    <t>OPC UA deployed, interfaces documented, Modbus TCP/PROFINET on field equipment</t>
  </si>
  <si>
    <t>Data silos, manual transfers, integration impossibility with IT systems</t>
  </si>
  <si>
    <t>SD2.2</t>
  </si>
  <si>
    <t>OT/IT Integration &amp; Flow Monitoring</t>
  </si>
  <si>
    <t>Enable automated and reliable data flow from field to decision applications</t>
  </si>
  <si>
    <t>Evaluate OT/IT integration completeness and data flow monitoring</t>
  </si>
  <si>
    <t>Complete bidirectional OT/IT integration, monitored flows, latency SLAs defined</t>
  </si>
  <si>
    <t>Unavailable or delayed process data, undetected flow interruptions, biased analytics</t>
  </si>
  <si>
    <t>P2</t>
  </si>
  <si>
    <t>Control &amp; Supervision</t>
  </si>
  <si>
    <t>D3</t>
  </si>
  <si>
    <t>Automation &amp; Control</t>
  </si>
  <si>
    <t>SD3.1</t>
  </si>
  <si>
    <t>DCS/PLC Coverage &amp; Alarm Management</t>
  </si>
  <si>
    <t>Ensure automated control of critical processes and effective alarm management</t>
  </si>
  <si>
    <t>Evaluate DCS/PLC coverage, alarm rationalization and change management</t>
  </si>
  <si>
    <t>DCS covering ≥ 80% loops, nuisance rate &lt; 10%, MOC procedure applied</t>
  </si>
  <si>
    <t>Manual variability, undetected incidents, uncontrolled DCS modifications</t>
  </si>
  <si>
    <t>SD3.2</t>
  </si>
  <si>
    <t>MES &amp; Production Scheduling</t>
  </si>
  <si>
    <t>Enable automated production management and planning optimization</t>
  </si>
  <si>
    <t>Evaluate MES deployment and integration with DCS and planning systems</t>
  </si>
  <si>
    <t>Operational MES interfaced with DCS, automated batch traceability, digital scheduling</t>
  </si>
  <si>
    <t>Incomplete traceability, unanalyzed planned/actual gaps, manual rework</t>
  </si>
  <si>
    <t>D4</t>
  </si>
  <si>
    <t>Supervision &amp; Maintenance</t>
  </si>
  <si>
    <t>SD4.1</t>
  </si>
  <si>
    <t>SCADA &amp; HMI Supervision</t>
  </si>
  <si>
    <t>Provide operators with complete and ergonomic centralized process view</t>
  </si>
  <si>
    <t>Evaluate SCADA coverage, HMI standardization and operator alarm management</t>
  </si>
  <si>
    <t>SCADA covering ≥ 90% process, standardized HMI, SCADA nuisance rate &lt; 10%</t>
  </si>
  <si>
    <t>Late incident detection, operator overload, poor inter-zone coordination</t>
  </si>
  <si>
    <t>SD4.2</t>
  </si>
  <si>
    <t>Condition Maintenance &amp; Predictive</t>
  </si>
  <si>
    <t>Move from corrective to predictive maintenance through condition monitoring</t>
  </si>
  <si>
    <t>Evaluate condition sensor deployment, CBMS system and predictive model maturity</t>
  </si>
  <si>
    <t>Sensors on ≥ 80% critical equipment, operational CBMS, predictive models in production</t>
  </si>
  <si>
    <t>Frequent unplanned shutdowns, high maintenance costs, MTBF not improving</t>
  </si>
  <si>
    <t>P3</t>
  </si>
  <si>
    <t>Operational Intelligence</t>
  </si>
  <si>
    <t>D5</t>
  </si>
  <si>
    <t>Industrial Data</t>
  </si>
  <si>
    <t>SD5.1</t>
  </si>
  <si>
    <t>Historization &amp; Traceability</t>
  </si>
  <si>
    <t>Ensure reliable collection, retention and traceability of process data</t>
  </si>
  <si>
    <t>Evaluate historian coverage, data retention and traceability to sensor source</t>
  </si>
  <si>
    <t>Historian collecting ≥ 95% critical tags, retention ≥ 12 months, documented tag index</t>
  </si>
  <si>
    <t>Impossible incident analysis, lost data, unverifiable data lineage</t>
  </si>
  <si>
    <t>SD5.2</t>
  </si>
  <si>
    <t>Data Governance &amp; Quality</t>
  </si>
  <si>
    <t>Ensure process data quality meets analytical and regulatory needs</t>
  </si>
  <si>
    <t>Evaluate data quality policy, repository and automatic quality measurement</t>
  </si>
  <si>
    <t>Quality policy approved, data steward designated, automatic quality measurement ≥ 95%</t>
  </si>
  <si>
    <t>Analyses on unverified data, biased decisions, missing data governance</t>
  </si>
  <si>
    <t>D6</t>
  </si>
  <si>
    <t>Analytics &amp; AI</t>
  </si>
  <si>
    <t>SD6.1</t>
  </si>
  <si>
    <t>Dashboards &amp; Advanced Analytics</t>
  </si>
  <si>
    <t>Valorize process data through automated dashboards and root cause analyses</t>
  </si>
  <si>
    <t>Evaluate KPI automation, BI platform and structured analytical approaches</t>
  </si>
  <si>
    <t>≥ 10 automated operational KPIs, BI platform used, structured RCAs</t>
  </si>
  <si>
    <t>Late or incomplete operational decisions, recurring unanalyzed incidents</t>
  </si>
  <si>
    <t>SD6.2</t>
  </si>
  <si>
    <t>AI &amp; Predictive Modeling</t>
  </si>
  <si>
    <t>Deploy machine learning models to optimize processes and predict failures</t>
  </si>
  <si>
    <t>Evaluate data pipeline maturity, deployed ML models and MLOps</t>
  </si>
  <si>
    <t>ML model in production, documented pipeline, automated MLOps retraining</t>
  </si>
  <si>
    <t>AI value not realized, model drift undetected, data investment without return</t>
  </si>
  <si>
    <t>P4</t>
  </si>
  <si>
    <t>Governance &amp; Security</t>
  </si>
  <si>
    <t>D7</t>
  </si>
  <si>
    <t>OT/IT Cybersecurity</t>
  </si>
  <si>
    <t>SD7.1</t>
  </si>
  <si>
    <t>OT Network Security Architecture</t>
  </si>
  <si>
    <t>Protect OT systems from cyberattacks through structured security architecture</t>
  </si>
  <si>
    <t>Evaluate OT/IT segmentation, DMZ, patch management and incident detection</t>
  </si>
  <si>
    <t>OT/IT firewall, DMZ L3.5, OT patch management, OT SOC or IDS</t>
  </si>
  <si>
    <t>Ransomware propagating to DCS, prolonged production shutdown, undetected security incident</t>
  </si>
  <si>
    <t>SD7.2</t>
  </si>
  <si>
    <t>Identity Management &amp; Secure Access</t>
  </si>
  <si>
    <t>Control and trace all accesses to OT systems</t>
  </si>
  <si>
    <t>Evaluate OT identity management, remote access security and access review</t>
  </si>
  <si>
    <t>Dedicated OT AD, Jump Host with MFA, all remote accesses traced</t>
  </si>
  <si>
    <t>Credential theft propagating to DCS, undetected unauthorized access, shared accounts</t>
  </si>
  <si>
    <t>D8</t>
  </si>
  <si>
    <t>Digital Governance</t>
  </si>
  <si>
    <t>SD8.1</t>
  </si>
  <si>
    <t>Digital Policy &amp; Governance Committee</t>
  </si>
  <si>
    <t>Provide direction and structure to the digital transformation</t>
  </si>
  <si>
    <t>Evaluate digital policy formalization and governance committee effectiveness</t>
  </si>
  <si>
    <t>Approved digital policy, active governance committee, defined governance KPIs</t>
  </si>
  <si>
    <t>Inconsistent digital projects, misaligned priorities, unlegitimized initiatives</t>
  </si>
  <si>
    <t>SD8.2</t>
  </si>
  <si>
    <t>Change Management &amp; Compliance</t>
  </si>
  <si>
    <t>Ensure controlled management of digital modifications and regulatory compliance</t>
  </si>
  <si>
    <t>Evaluate digital MOC process, audit plan and regulatory compliance</t>
  </si>
  <si>
    <t>Digital MOC procedure applied, annual audits conducted, compliance matrix up to date</t>
  </si>
  <si>
    <t>Untraced regressions, unmanaged regulatory risks, non-compliance discovered late</t>
  </si>
  <si>
    <t>P5</t>
  </si>
  <si>
    <t>Human Capital</t>
  </si>
  <si>
    <t>D9</t>
  </si>
  <si>
    <t>Digital Skills</t>
  </si>
  <si>
    <t>SD9.1</t>
  </si>
  <si>
    <t>Skills Mapping &amp; Gap Analysis</t>
  </si>
  <si>
    <t>Identify digital skills gaps to target training investments</t>
  </si>
  <si>
    <t>Evaluate completeness of skills mapping and gap prioritization</t>
  </si>
  <si>
    <t>Skills matrix covering ≥ 90% of employees in scope, prioritized gaps</t>
  </si>
  <si>
    <t>Arbitrary training budget, critical gaps persisting, tool underuse</t>
  </si>
  <si>
    <t>SD9.2</t>
  </si>
  <si>
    <t>Training Plan &amp; Certification</t>
  </si>
  <si>
    <t>Develop required digital skills through structured training plan</t>
  </si>
  <si>
    <t>Evaluate formalization, execution and impact of the training plan</t>
  </si>
  <si>
    <t>Approved and executed training plan ≥ 80%, certifications, internal trainers</t>
  </si>
  <si>
    <t>Deployed tools underused, low digital investment ROI, skills not maintained</t>
  </si>
  <si>
    <t>D10</t>
  </si>
  <si>
    <t>Culture &amp; Adoption</t>
  </si>
  <si>
    <t>SD10.1</t>
  </si>
  <si>
    <t>Tool Adoption &amp; Digital Champion</t>
  </si>
  <si>
    <t>Ensure active adoption of deployed digital tools by operational teams</t>
  </si>
  <si>
    <t>Evaluate tool adoption rate, digital champion effectiveness and field feedback</t>
  </si>
  <si>
    <t>Adoption rate ≥ 80%, active digital champion, structured feedback process</t>
  </si>
  <si>
    <t>Digital investment without value, demotivated teams, abandoned tools</t>
  </si>
  <si>
    <t>SD10.2</t>
  </si>
  <si>
    <t>Innovation &amp; Digital Culture</t>
  </si>
  <si>
    <t>Build a sustainable innovation culture oriented toward digital value creation</t>
  </si>
  <si>
    <t>Evaluate POC approach maturity, replication of successes and external partnerships</t>
  </si>
  <si>
    <t>≥ 1 POC per year with documented result, replicated successes, innovation partnerships</t>
  </si>
  <si>
    <t>Innovation limited to pilots, no diffusion of successes, disconnection from ecosystem</t>
  </si>
  <si>
    <t>GENERIC_MATURITY_SCALE — Generic maturity scale (0-5)</t>
  </si>
  <si>
    <t>Level</t>
  </si>
  <si>
    <t>Level_Name</t>
  </si>
  <si>
    <t>Generic_Description</t>
  </si>
  <si>
    <t>Generic_Evaluation_Principle</t>
  </si>
  <si>
    <t>Minimum_Evidence_Principle</t>
  </si>
  <si>
    <t>Absence</t>
  </si>
  <si>
    <t>No digital initiative identified. Processes are entirely manual or analog.</t>
  </si>
  <si>
    <t>Observe the total absence of operational digital tools in the assessed scope.</t>
  </si>
  <si>
    <t>No document, no tool, no observable measurement. Only absence is observable.</t>
  </si>
  <si>
    <t>Initial</t>
  </si>
  <si>
    <t>Digital tools exist but are deployed in an isolated, non-standardized way. Coverage is partial and use is not systematic.</t>
  </si>
  <si>
    <t>Verify the existence of digital tools in production, even if isolated or partially functional.</t>
  </si>
  <si>
    <t>At least one digital tool in operational use, even without formal measurement.</t>
  </si>
  <si>
    <t>Managed</t>
  </si>
  <si>
    <t>Main digital systems are deployed with documented coverage. Key processes are automated. Measurements begin.</t>
  </si>
  <si>
    <t>Evaluate coverage completeness and existence of measurements. Tools are used but not optimized.</t>
  </si>
  <si>
    <t>Documented coverage. At least one performance indicator measured. Periodic monitoring.</t>
  </si>
  <si>
    <t>Structured</t>
  </si>
  <si>
    <t>Digital systems cover the entire scope. Performance is measured and managed. Processes are documented and followed.</t>
  </si>
  <si>
    <t>Verify completeness of coverage and regularity of measurement and improvement processes.</t>
  </si>
  <si>
    <t>Complete coverage documented. KPIs measured regularly. MOC process applied. Trained teams.</t>
  </si>
  <si>
    <t>Optimized</t>
  </si>
  <si>
    <t>Systems are integrated end-to-end. Performance is optimized through analytics. Data-driven decision-making is the norm.</t>
  </si>
  <si>
    <t>Look for evidence of continuous optimization and data-driven decisions.</t>
  </si>
  <si>
    <t>Demonstrated performance improvements. Integrated and supervised systems. Documented optimization.</t>
  </si>
  <si>
    <t>Intelligent</t>
  </si>
  <si>
    <t>Autonomous predictive systems, prescriptive AI, continuous feedback loop. The site creates value from data systematically.</t>
  </si>
  <si>
    <t>Verify the existence of prescriptive AI use cases and the continuity of improvement feedback loop.</t>
  </si>
  <si>
    <t>AI in production generating prescriptive recommendations. Documented and measured results. MLOps active.</t>
  </si>
  <si>
    <t>DIMENSION_MATURITY_MATRICES — Meaning of levels 0-5 by dimension (60 lines)</t>
  </si>
  <si>
    <t>Dimension_Level_Description</t>
  </si>
  <si>
    <t>Key_Capabilities_Expected</t>
  </si>
  <si>
    <t>Typical_Observed_State</t>
  </si>
  <si>
    <t>Minimum_Conditions</t>
  </si>
  <si>
    <t>Possible_Evidence</t>
  </si>
  <si>
    <t>Main_Limit_Preventing_Next_Level</t>
  </si>
  <si>
    <t>Recommended_Target_Use</t>
  </si>
  <si>
    <t>No specific OT digital infrastructure. Field equipment operates without dedicated industrial network or OT servers.</t>
  </si>
  <si>
    <t>None</t>
  </si>
  <si>
    <t>Autonomous equipment, local control only, no industrial network identified</t>
  </si>
  <si>
    <t>No OT network equipment, no industrial servers, no infrastructure documentation</t>
  </si>
  <si>
    <t>Equipment inventory, field survey</t>
  </si>
  <si>
    <t>Absence of any structured OT network</t>
  </si>
  <si>
    <t>Reference value. Not recommended as target.</t>
  </si>
  <si>
    <t>OT network deployed on part of critical equipment (&lt; 50%) but not documented. OT servers are physical, without virtualization. Availability is not measured.</t>
  </si>
  <si>
    <t>Partial OT industrial network on some equipment</t>
  </si>
  <si>
    <t>OT network on some equipment, local supervision, undocumented infrastructure</t>
  </si>
  <si>
    <t>At least one structured industrial network, at least one OT server in production</t>
  </si>
  <si>
    <t>Partial network diagram, server inventory</t>
  </si>
  <si>
    <t>Undocumented partial OT network, availability not measured</t>
  </si>
  <si>
    <t>Not recommended as final target. Acceptable as intermediate transition step.</t>
  </si>
  <si>
    <t>OT network covers ≥ 50% of critical equipment. Architecture is documented. OT servers are partially virtualized. Availability is measured but without NMS.</t>
  </si>
  <si>
    <t>OT network covering ≥ 50% critical equipment, partial virtualization</t>
  </si>
  <si>
    <t>Deployed OT network on majority of critical equipment, partial physical servers</t>
  </si>
  <si>
    <t>OT network diagram documented. At least 50% critical equipment connected. At least one server measurement.</t>
  </si>
  <si>
    <t>OT network diagram, connectivity tests, server inventory</t>
  </si>
  <si>
    <t>No NMS, partial availability, no DRP</t>
  </si>
  <si>
    <t>Acceptable as intermediate target for low-maturity sites. Short-term target if initial gap is large.</t>
  </si>
  <si>
    <t>OT network covers ≥ 80% of critical equipment with documented redundancy. OT servers are mainly virtualized. Availability is measured via NMS. Tested DRP exists.</t>
  </si>
  <si>
    <t>OT network ≥ 80%, measured redundancy, main VMs, NMS, tested DRP</t>
  </si>
  <si>
    <t>Structured OT network, centralized supervision from control room, measured availability</t>
  </si>
  <si>
    <t>Network diagram with redundancy. NMS operational. OT VMs in production. DRP document and test report.</t>
  </si>
  <si>
    <t>Network diagram, NMS dashboard, availability report, DRP test report</t>
  </si>
  <si>
    <t>Insufficient spare capacity, no predictive capacity management</t>
  </si>
  <si>
    <t>Recommended default target for most industrial sites.</t>
  </si>
  <si>
    <t>OT network ≥ 95% coverage with documented redundancy tested &lt; 1 min RTO. OT servers fully virtualized with ≥ 30% spare capacity. Availability SLA ≥ 99.5% measured and reported.</t>
  </si>
  <si>
    <t>OT network ≥ 95%, RTO &lt; 1 min tested, full virtualization ≥ 30% spare, SLA ≥ 99.5%</t>
  </si>
  <si>
    <t>Full virtualized OT infrastructure, SLA measured and reported, automatic alerts on capacity</t>
  </si>
  <si>
    <t>Switchover tests on all critical paths. SLA report. Spare capacity documented. Monthly capacity report.</t>
  </si>
  <si>
    <t>Switchover test reports, SLA reports, capacity reports</t>
  </si>
  <si>
    <t>No predictive capacity management, no automated SLA prediction</t>
  </si>
  <si>
    <t>Recommended target for sites with advanced digital maturity or high availability requirements.</t>
  </si>
  <si>
    <t>OT infrastructure managed predictively. Capacities anticipated via models. Network and server availability optimized automatically. SLA ≥ 99.5% continuously met.</t>
  </si>
  <si>
    <t>Predictive capacity management, self-optimized SLA, automated extension planning</t>
  </si>
  <si>
    <t>OT infrastructure self-managed with prediction models, zero unanticipated saturation</t>
  </si>
  <si>
    <t>Capacity prediction model in production. Zero saturation shutdowns. SLA met &gt; 12 consecutive months.</t>
  </si>
  <si>
    <t>Capacity model documentation, 12-month SLA reports, automated alerts</t>
  </si>
  <si>
    <t>Aspirational target. Relevant for sites with very high availability requirements (≥ 99.9%) or large multi-unit sites.</t>
  </si>
  <si>
    <t>No standardized industrial protocols. Systems are isolated. No OT/IT data exchange. All data is read manually from local displays.</t>
  </si>
  <si>
    <t>Isolated systems, 100% manual data reading, no digital interface</t>
  </si>
  <si>
    <t>No interface between systems, no network exchange</t>
  </si>
  <si>
    <t>Field survey confirming system isolation</t>
  </si>
  <si>
    <t>Any structured exchange between two systems</t>
  </si>
  <si>
    <t>Some exchanges exist (old OPC DA, Modbus TCP point-to-point) but are not documented. OT/IT exchanges are rare or manual. No interface matrix.</t>
  </si>
  <si>
    <t>Some proprietary or point-to-point exchanges, no documentation</t>
  </si>
  <si>
    <t>Some automated exchanges, but mainly manual, no interface matrix</t>
  </si>
  <si>
    <t>At least one automated exchange between two systems</t>
  </si>
  <si>
    <t>Screenshots showing exchange, existing protocol</t>
  </si>
  <si>
    <t>No interface documentation, no standardization</t>
  </si>
  <si>
    <t>Not recommended as target. Acceptable as starting point.</t>
  </si>
  <si>
    <t>Key industrial protocols documented (Modbus TCP, PROFINET). OPC UA server deployed on DCS. First OT/IT integrations operational. Interface matrix partially documented.</t>
  </si>
  <si>
    <t>OPC UA deployed on DCS, some OT/IT integrations, partial interface matrix</t>
  </si>
  <si>
    <t>OPC UA operational, critical tags accessible from IT</t>
  </si>
  <si>
    <t>OPC UA server operational. At least 10 tags exposed. Interface matrix covering ≥ 50% of interfaces.</t>
  </si>
  <si>
    <t>OPC UA server documentation, interface matrix, connectivity tests</t>
  </si>
  <si>
    <t>Partial integration, no flow monitoring, no latency SLA</t>
  </si>
  <si>
    <t>Acceptable default target for sites starting OT/IT integration.</t>
  </si>
  <si>
    <t>Complete bidirectional OT/IT integration. All critical interfaces documented. Flow monitoring operational. Data quality checked at exchange point.</t>
  </si>
  <si>
    <t>Complete OT/IT integration, full interface matrix, flow monitoring</t>
  </si>
  <si>
    <t>All critical systems integrated, flows monitored with alerts</t>
  </si>
  <si>
    <t>Interface matrix complete. Flow monitoring operational. Alerts configured and tested.</t>
  </si>
  <si>
    <t>Interface matrix, flow monitoring dashboard, alert test reports</t>
  </si>
  <si>
    <t>No latency SLA, exchange optimization not yet done</t>
  </si>
  <si>
    <t>Latency SLAs defined and met on critical flows (&lt; 100ms). Flows optimized. OPC UA security fully configured with certificates and authentication.</t>
  </si>
  <si>
    <t>Latency SLAs &lt; 100ms, optimized flows, OPC UA security complete</t>
  </si>
  <si>
    <t>Real-time data available for all decision applications, SLAs measured monthly</t>
  </si>
  <si>
    <t>SLAs documented and met. Latency measured on 100% critical flows. Monthly SLA report.</t>
  </si>
  <si>
    <t>Latency monitoring reports, monthly SLA reports, OPC UA security audit</t>
  </si>
  <si>
    <t>Recommended target for sites deploying APC or real-time AI applications.</t>
  </si>
  <si>
    <t>Intelligent and self-optimizing OT/IT integration. Protocol anomalies detected automatically. Latency SLAs met automatically via dynamic QoS.</t>
  </si>
  <si>
    <t>Self-optimizing integration, automatic anomaly detection, dynamic QoS</t>
  </si>
  <si>
    <t>Zero SLA breach, automatic QoS adjustment, active flow anomaly detection</t>
  </si>
  <si>
    <t>Zero SLA breach over 12 months. At least one automatic anomaly detection. QoS documented.</t>
  </si>
  <si>
    <t>12-month SLA reports, anomaly detection logs, QoS configuration</t>
  </si>
  <si>
    <t>Aspirational target. Relevant for sites with AI applications requiring extremely reliable real-time data.</t>
  </si>
  <si>
    <t>No DCS or PLC. All process control is manual. No automated control loop.</t>
  </si>
  <si>
    <t>100% manual control, no process automation</t>
  </si>
  <si>
    <t>No controller (DCS or PLC) identified in production</t>
  </si>
  <si>
    <t>Field survey confirming manual control</t>
  </si>
  <si>
    <t>Any controller in production</t>
  </si>
  <si>
    <t>DCS or PLC deployed on some equipment (&lt; 30% of loops). Automation is partial and focused on safety interlocks. Many critical loops still manual. No alarm rationalization.</t>
  </si>
  <si>
    <t>DCS/PLC on &lt; 30% loops, mainly safety</t>
  </si>
  <si>
    <t>First controllers, critical loops still manual</t>
  </si>
  <si>
    <t>At least one DCS or PLC operational. At least 10% of critical loops automated.</t>
  </si>
  <si>
    <t>DCS documentation, automated loop list</t>
  </si>
  <si>
    <t>Most loops still manual, no documentation, no alarm management</t>
  </si>
  <si>
    <t>Not recommended as target.</t>
  </si>
  <si>
    <t>DCS/PLC covers 30 to 60% of critical loops. Configuration partially documented. MOC procedure initiated. Alarm system deployed but not rationalized.</t>
  </si>
  <si>
    <t>DCS/PLC 30-60%, partial documentation, non-rationalized alarms</t>
  </si>
  <si>
    <t>Deployed DCS on main equipment, partial automation</t>
  </si>
  <si>
    <t>DCS documentation covering ≥ 30% of loops. MOC procedure started. Alarms configured in DCS.</t>
  </si>
  <si>
    <t>DCS documentation, alarm list, first MOC traces</t>
  </si>
  <si>
    <t>High nuisance rate, partial documentation, no MES</t>
  </si>
  <si>
    <t>Acceptable intermediate target.</t>
  </si>
  <si>
    <t>DCS/PLC covers ≥ 80% of critical loops. Configuration fully documented. MOC procedure applied systematically. Alarm nuisance rate &lt; 10%. MES deployed and interfaced.</t>
  </si>
  <si>
    <t>DCS ≥ 80%, full documentation, MOC applied, nuisance &lt; 10%, MES operational</t>
  </si>
  <si>
    <t>Complete automation, structured alarm management, automated production traceability</t>
  </si>
  <si>
    <t>DCS documentation complete. MOC procedure with ≥ 3 traced modifications. Nuisance rate &lt; 10% measured. MES operational.</t>
  </si>
  <si>
    <t>DCS documentation, MOC register, alarm statistics, MES demonstration</t>
  </si>
  <si>
    <t>No APC, no production performance optimization</t>
  </si>
  <si>
    <t>DCS covers ≥ 90% of loops including non-critical ones. APC deployed on critical units. Nuisance rate &lt; 5%. MES integrated with ERP for production planning.</t>
  </si>
  <si>
    <t>DCS ≥ 90%, APC on critical units, nuisance &lt; 5%, MES/ERP integrated</t>
  </si>
  <si>
    <t>Advanced control, measurably reduced variability, digital end-to-end production</t>
  </si>
  <si>
    <t>APC deployed on ≥ 1 critical unit with documented gains. MES/ERP interface. Nuisance rate &lt; 5%.</t>
  </si>
  <si>
    <t>APC performance reports, MES/ERP interface documentation, alarm statistics</t>
  </si>
  <si>
    <t>Recommended target for sites with process performance optimization needs.</t>
  </si>
  <si>
    <t>APC with self-optimizing models. Alarms automatically managed by AI. MES self-adjusts scheduling in real time based on production conditions.</t>
  </si>
  <si>
    <t>Self-optimizing APC, AI alarm management, autonomous MES scheduling</t>
  </si>
  <si>
    <t>Process continuously auto-optimized, AI-generated production recommendations</t>
  </si>
  <si>
    <t>APC with MLOps in production. AI alarms with adaptive thresholds. MES with dynamic scheduling.</t>
  </si>
  <si>
    <t>APC MLOps documentation, adaptive alarm reports, dynamic scheduling demonstrations</t>
  </si>
  <si>
    <t>Aspirational target.</t>
  </si>
  <si>
    <t>No SCADA. No centralized supervision. Operators rely on local displays. No condition sensors on equipment.</t>
  </si>
  <si>
    <t>Local supervision only, no SCADA, no condition sensors</t>
  </si>
  <si>
    <t>No supervision system identified</t>
  </si>
  <si>
    <t>Field survey</t>
  </si>
  <si>
    <t>Any supervision system</t>
  </si>
  <si>
    <t>SCADA deployed on part of equipment (&lt; 50%). Non-standardized HMI. High nuisance alarm rate. No condition sensors on critical equipment.</t>
  </si>
  <si>
    <t>SCADA &lt; 50%, non-standardized HMI, high nuisance rate, no sensors</t>
  </si>
  <si>
    <t>Partial supervision, heterogeneous HMI, operators managing many nuisance alarms</t>
  </si>
  <si>
    <t>At least one SCADA operational. At least 10% of process supervised.</t>
  </si>
  <si>
    <t>SCADA demonstration, alarm list</t>
  </si>
  <si>
    <t>High nuisance rate, non-standardized HMI, no condition maintenance</t>
  </si>
  <si>
    <t>SCADA covers 50 to 75% of process. HMI partially standardized. Alarm rationalization initiated (nuisance rate 10-20%). First condition sensors on critical equipment.</t>
  </si>
  <si>
    <t>SCADA 50-75%, partial HMI, nuisance 10-20%, some sensors</t>
  </si>
  <si>
    <t>Partial supervision, alarm improvement underway, first condition monitoring</t>
  </si>
  <si>
    <t>SCADA covering ≥ 50% process. Alarm rationalization started. ≥ 5 sensors on critical equipment.</t>
  </si>
  <si>
    <t>SCADA coverage demonstration, alarm statistics, sensor list</t>
  </si>
  <si>
    <t>Incomplete coverage, still high nuisance rate, no CBMS</t>
  </si>
  <si>
    <t>SCADA covers ≥ 90% of process. Standardized HMI compliant with charter. Nuisance rate &lt; 10%. CBMS operational on ≥ 50% of critical equipment.</t>
  </si>
  <si>
    <t>SCADA ≥ 90%, standardized HMI, nuisance &lt; 10%, CBMS on ≥ 50%</t>
  </si>
  <si>
    <t>Complete supervision, ergonomic HMI, effective condition monitoring</t>
  </si>
  <si>
    <t>SCADA ≥ 90%. HMI charter applied. Nuisance &lt; 10% measured. CBMS with ≥ 1 tested alert.</t>
  </si>
  <si>
    <t>SCADA coverage, HMI charter, alarm statistics, CBMS demonstration</t>
  </si>
  <si>
    <t>No predictive models, sensors on some equipment only</t>
  </si>
  <si>
    <t>Recommended default target.</t>
  </si>
  <si>
    <t>Complete SCADA with nuisance rate &lt; 5%. HMI charter applied ≥ 95%. Sensors on ≥ 80% of critical equipment. Predictive models in production on main failures.</t>
  </si>
  <si>
    <t>SCADA complete, nuisance &lt; 5%, sensors ≥ 80%, predictive models in production</t>
  </si>
  <si>
    <t>Advanced supervision, predictive maintenance reducing unplanned shutdowns</t>
  </si>
  <si>
    <t>Nuisance &lt; 5% measured. Sensors ≥ 80% critical equipment. ≥ 1 predictive model in production.</t>
  </si>
  <si>
    <t>Alarm statistics, sensor inventory, predictive model performance reports</t>
  </si>
  <si>
    <t>Recommended target for sites with critical equipment and high availability requirements.</t>
  </si>
  <si>
    <t>SCADA with AI-based adaptive alarm management. Predictive models on all critical equipment. Zero unplanned shutdowns documented over 12 months.</t>
  </si>
  <si>
    <t>AI alarms, predictive on all equipment, zero unplanned shutdowns documented</t>
  </si>
  <si>
    <t>Fully autonomous supervision, maintenance anticipated for all critical equipment</t>
  </si>
  <si>
    <t>Adaptive AI alarms. Predictive models on 100% critical equipment. Zero unplanned shutdowns over 12 months.</t>
  </si>
  <si>
    <t>Adaptive alarm documentation, predictive model reports, maintenance shutdown log</t>
  </si>
  <si>
    <t>No industrial historian. No digitally retained process data. All historical analysis is impossible.</t>
  </si>
  <si>
    <t>All data lost at shutdown, no digital process history</t>
  </si>
  <si>
    <t>No historian or equivalent tool in production</t>
  </si>
  <si>
    <t>Any process data historization</t>
  </si>
  <si>
    <t>Historian deployed on some critical tags (&lt; 50%). Retention is short (&lt; 3 months). No data quality policy. Data traceability to sensor source is impossible.</t>
  </si>
  <si>
    <t>Historian &lt; 50% tags, retention &lt; 3 months, no governance</t>
  </si>
  <si>
    <t>First historized data, no governance, partial and short-retention collection</t>
  </si>
  <si>
    <t>At least one historian operational with at least 10 tags and 1 month retention.</t>
  </si>
  <si>
    <t>Historian demonstration, collected tag list</t>
  </si>
  <si>
    <t>Very partial coverage, short retention, no governance</t>
  </si>
  <si>
    <t>Historian covers ≥ 50% of critical tags with retention ≥ 6 months. Clock synchronization deployed. Tag index partially documented.</t>
  </si>
  <si>
    <t>Historian ≥ 50% tags, retention ≥ 6 months, partial traceability</t>
  </si>
  <si>
    <t>Historian deployed on majority of critical equipment, partial traceability</t>
  </si>
  <si>
    <t>Historian covering ≥ 50% critical tags. Retention ≥ 6 months. At least one documented naming convention.</t>
  </si>
  <si>
    <t>Historian demonstration, tag list, retention configuration</t>
  </si>
  <si>
    <t>No quality governance, partial traceability</t>
  </si>
  <si>
    <t>Historian covers ≥ 80% of critical tags with retention ≥ 12 months. Complete tag index. Data quality policy approved. Data steward designated.</t>
  </si>
  <si>
    <t>Historian ≥ 80%, retention ≥ 12 months, complete tag index, quality policy</t>
  </si>
  <si>
    <t>Reliable and traceable historized data, governed quality</t>
  </si>
  <si>
    <t>Historian ≥ 80% critical tags. Retention ≥ 12 months. Tag index complete. Quality policy approved.</t>
  </si>
  <si>
    <t>Historian demonstration, tag index, quality policy, first quality report</t>
  </si>
  <si>
    <t>No advanced architecture (data lake), quality not automatically measured</t>
  </si>
  <si>
    <t>Historian covers ≥ 95% of all tags (critical and secondary). Automatic data quality measurement ≥ 95%. Industrial data lake operational aggregating all sources.</t>
  </si>
  <si>
    <t>Historian ≥ 95%, automatic quality ≥ 95%, industrial data lake operational</t>
  </si>
  <si>
    <t>Complete data architecture, reliable and accessible quality for all analytical uses</t>
  </si>
  <si>
    <t>Historian ≥ 95%. Data quality ≥ 95% automatically measured. Data lake operational with ≥ 3 connected sources.</t>
  </si>
  <si>
    <t>Historian coverage, quality dashboard, data lake demonstration</t>
  </si>
  <si>
    <t>Recommended target for sites with AI and advanced analytics projects.</t>
  </si>
  <si>
    <t>Industrial data platform continuously self-optimized. Data quality automatically corrected (AI imputation). Real-time data accessible to all applications with measured latency SLAs.</t>
  </si>
  <si>
    <t>AI data platform, automatic quality, SLAs measured in real time</t>
  </si>
  <si>
    <t>Data self-managed and self-corrected, real-time available for all applications</t>
  </si>
  <si>
    <t>AI data imputation in production. SLAs met on 100% sources. Zero data loss documented.</t>
  </si>
  <si>
    <t>AI imputation documentation, SLA reports, data loss log</t>
  </si>
  <si>
    <t>No automated dashboard. All reporting is manual (Excel). No root cause analysis. No ML or AI application.</t>
  </si>
  <si>
    <t>100% manual reporting, no analytics, no AI</t>
  </si>
  <si>
    <t>No automated reporting tool identified</t>
  </si>
  <si>
    <t>Any automated KPI or dashboard</t>
  </si>
  <si>
    <t>A few automated dashboards exist but are not connected to historian. KPIs are calculated with delay. No structured root cause analysis. No ML.</t>
  </si>
  <si>
    <t>Some dashboards disconnected from historian, no RCA, no ML</t>
  </si>
  <si>
    <t>First dashboards, mainly manual, no structured analysis</t>
  </si>
  <si>
    <t>At least 3 automated dashboards with KPIs visible to operators.</t>
  </si>
  <si>
    <t>Dashboard demonstration</t>
  </si>
  <si>
    <t>Not connected to historian, no automated update, no RCA</t>
  </si>
  <si>
    <t>≥ 10 operational KPIs automatically updated from historian. BI platform deployed. Ad hoc analyses possible but not structured. No ML model in production.</t>
  </si>
  <si>
    <t>≥ 10 automated KPIs, BI platform, ad hoc analyses, no ML</t>
  </si>
  <si>
    <t>KPI dashboards available in real time, occasional analyses</t>
  </si>
  <si>
    <t>≥ 10 automated KPIs updated from historian. BI platform operational.</t>
  </si>
  <si>
    <t>KPI dashboard, BI platform demonstration</t>
  </si>
  <si>
    <t>No RCA methodology, no ML</t>
  </si>
  <si>
    <t>≥ 20 automated KPIs. BI platform used by ≥ 80% of engineers. Structured and documented RCAs. At least one ML model validated (not necessarily in production).</t>
  </si>
  <si>
    <t>≥ 20 KPIs, BI used ≥ 80%, structured RCAs, ≥ 1 validated ML model</t>
  </si>
  <si>
    <t>Data-driven management, documented RCAs, first ML capabilities</t>
  </si>
  <si>
    <t>≥ 20 KPIs. BI usage ≥ 80% engineers. ≥ 3 documented RCAs. ≥ 1 ML model validated.</t>
  </si>
  <si>
    <t>KPI dashboard, BI usage statistics, RCA documents, ML model validation report</t>
  </si>
  <si>
    <t>ML not in production, no MLOps</t>
  </si>
  <si>
    <t>≥ 30 automated KPIs. BI platform used at all levels. ≥ 2 ML models in production with documented gains. MLOps pipeline operational with monitoring.</t>
  </si>
  <si>
    <t>≥ 30 KPIs, BI all levels, ≥ 2 ML in production, MLOps operational</t>
  </si>
  <si>
    <t>AI value demonstrated, continuous improvement driven by data</t>
  </si>
  <si>
    <t>≥ 30 KPIs. ≥ 2 ML models in production with ≥ 6 months history. MLOps active with retraining.</t>
  </si>
  <si>
    <t>KPI dashboard, ML model performance reports, MLOps documentation</t>
  </si>
  <si>
    <t>Recommended target for sites with high AI maturity ambitions.</t>
  </si>
  <si>
    <t>Prescriptive AI generating actionable operational recommendations. MLOps fully automated with self-retraining. AI ROI documented and measured continuously.</t>
  </si>
  <si>
    <t>Prescriptive AI, self-managed MLOps, measured and documented AI ROI</t>
  </si>
  <si>
    <t>AI integrated into operational decision-making, continuously self-improving</t>
  </si>
  <si>
    <t>Prescriptive recommendations in production. Self-retraining MLOps. AI ROI measured monthly.</t>
  </si>
  <si>
    <t>Prescriptive AI documentation, MLOps auto-retraining logs, monthly AI ROI reports</t>
  </si>
  <si>
    <t>No OT/IT network segmentation. OT and IT systems are merged without filtering. No OT-specific security policy. No patch management.</t>
  </si>
  <si>
    <t>Merged OT/IT network, no security policy, no patch management</t>
  </si>
  <si>
    <t>No firewall or filter between OT and IT</t>
  </si>
  <si>
    <t>Network diagram showing absence of segmentation</t>
  </si>
  <si>
    <t>Any OT/IT filtering rule</t>
  </si>
  <si>
    <t>OT/IT segmentation exists (VLAN or basic firewall) but rules are not documented. Patch management is informal. No OT DMZ.</t>
  </si>
  <si>
    <t>Basic segmentation, undocumented rules, informal patches, no DMZ</t>
  </si>
  <si>
    <t>First segmentation, but incomplete and undocumented</t>
  </si>
  <si>
    <t>At least one network filter between OT and IT with at least one documented rule.</t>
  </si>
  <si>
    <t>Network diagram, firewall rule extract</t>
  </si>
  <si>
    <t>No documented rules, no DMZ, no OT AD</t>
  </si>
  <si>
    <t>OT/IT firewall with documented rules. OT DMZ deployed. Patch management policy written. First remote accesses via Jump Host.</t>
  </si>
  <si>
    <t>OT/IT firewall documented, DMZ, patch management policy, first Jump Host</t>
  </si>
  <si>
    <t>Partially segmented architecture, documented patch management</t>
  </si>
  <si>
    <t>Firewall with documented rules approved by CISO. DMZ deployed. OT patch management policy.</t>
  </si>
  <si>
    <t>Firewall documentation, DMZ architecture, patch policy</t>
  </si>
  <si>
    <t>No OT AD, no MFA, no IDS/SOC</t>
  </si>
  <si>
    <t>Complete architecture: OT/IT firewall, L3.5 DMZ, OT AD, Jump Host with MFA, tested OT patch management. All remote accesses traced.</t>
  </si>
  <si>
    <t>Complete architecture: firewall, DMZ, OT AD, Jump Host MFA, patches applied</t>
  </si>
  <si>
    <t>Secure OT access architecture, all accesses traced</t>
  </si>
  <si>
    <t>OT AD operational. Jump Host MFA. Patch management with applied cycles. Switchover tests.</t>
  </si>
  <si>
    <t>Architecture documentation, access logs, patch management reports, MFA tests</t>
  </si>
  <si>
    <t>No OT SOC, no IDS/IPS</t>
  </si>
  <si>
    <t>Complete security architecture with OT IDS deployed on critical segments. OT logs in SIEM. OT incident response playbooks. IEC 62443 audit initiated.</t>
  </si>
  <si>
    <t>OT IDS, logs in SIEM, playbooks, IEC 62443 audit initiated</t>
  </si>
  <si>
    <t>Proactive OT incident detection, structured incident response</t>
  </si>
  <si>
    <t>OT IDS operational. OT logs in SIEM. ≥ 3 playbooks defined. ≥ 1 crisis exercise conducted.</t>
  </si>
  <si>
    <t>IDS deployment, SIEM integration, playbooks, crisis exercise report</t>
  </si>
  <si>
    <t>Recommended target for high-risk sites or sites subject to OT cybersecurity regulations.</t>
  </si>
  <si>
    <t>OT SOC fully integrated with automated threat detection. IEC 62443 compliance certified. Continuous OT threat intelligence active.</t>
  </si>
  <si>
    <t>OT SOC with automated detection, IEC 62443 certified, OT threat intelligence</t>
  </si>
  <si>
    <t>Autonomous OT cyber defense, certified compliance, proactive threat management</t>
  </si>
  <si>
    <t>OT SOC with automated playbooks. IEC 62443 certification obtained. Active OT threat intelligence.</t>
  </si>
  <si>
    <t>OT SOC documentation, IEC 62443 certificate, threat intelligence reports</t>
  </si>
  <si>
    <t>No digital policy. No digital manager. Digital projects are conducted ad hoc without framework. No governance committee.</t>
  </si>
  <si>
    <t>Ad hoc digital projects, no governance, no manager</t>
  </si>
  <si>
    <t>No digital policy document, no formal governance structure</t>
  </si>
  <si>
    <t>Survey confirming absence of digital policy</t>
  </si>
  <si>
    <t>Any formal digital governance element</t>
  </si>
  <si>
    <t>Digital vision exists at management level but is not formalized. Some digital projects underway without structured framework. No dedicated digital manager.</t>
  </si>
  <si>
    <t>Informal vision, some projects without framework, no formal manager</t>
  </si>
  <si>
    <t>Digital initiatives present but uncoordinated</t>
  </si>
  <si>
    <t>At least one documented digital project underway.</t>
  </si>
  <si>
    <t>Digital project documentation</t>
  </si>
  <si>
    <t>No formal policy, no manager, no committee</t>
  </si>
  <si>
    <t>Digital policy written and approved. Digital manager designated. Steering committee constituted. Governance KPIs defined.</t>
  </si>
  <si>
    <t>Approved policy, manager appointed, committee constituted, KPIs defined</t>
  </si>
  <si>
    <t>Digital governance in place, first structured projects</t>
  </si>
  <si>
    <t>Policy approved. Manager appointed. Committee with ≥ 1 meeting with minutes.</t>
  </si>
  <si>
    <t>Policy document, committee minutes, manager mission brief</t>
  </si>
  <si>
    <t>No digital MOC, no compliance audit</t>
  </si>
  <si>
    <t>Active digital governance: digital MOC procedure applied, annual audit plan executed, non-conformities tracked. Governance KPIs measured and reported.</t>
  </si>
  <si>
    <t>MOC applied, annual audits, NC tracked, KPIs measured</t>
  </si>
  <si>
    <t>Controlled governance, modifications traced, compliance monitored</t>
  </si>
  <si>
    <t>Digital MOC with ≥ 3 traced modifications. ≥ 1 audit conducted and reported. KPIs measured monthly.</t>
  </si>
  <si>
    <t>MOC register, audit report, KPI dashboard</t>
  </si>
  <si>
    <t>No periodic maturity measurement</t>
  </si>
  <si>
    <t>Periodic digital maturity measurement. Regulatory compliance matrix up to date. Digital roadmap updated annually based on assessments. Digital ROI documented.</t>
  </si>
  <si>
    <t>Periodic maturity, compliance matrix, updated roadmap, documented ROI</t>
  </si>
  <si>
    <t>Optimized data-driven governance, compliance demonstrated</t>
  </si>
  <si>
    <t>Annual maturity assessment conducted. Compliance matrix up to date. ROI documented.</t>
  </si>
  <si>
    <t>Assessment reports, compliance matrix, updated roadmap, ROI reports</t>
  </si>
  <si>
    <t>Recommended target for sites with advanced digital governance ambitions.</t>
  </si>
  <si>
    <t>Governance continuously adapted based on maturity indicators. Regulatory compliance automatically monitored. Digital governance as competitive advantage.</t>
  </si>
  <si>
    <t>Self-adapting governance, automated compliance monitoring, strategic competitive advantage</t>
  </si>
  <si>
    <t>Fully autonomous governance adapted to context</t>
  </si>
  <si>
    <t>Automatic compliance monitoring. Governance self-adjusting to priority changes.</t>
  </si>
  <si>
    <t>Compliance monitoring documentation, auto-governance logs</t>
  </si>
  <si>
    <t>No digital skills mapping. No digital training plan. Digital tools deployed without any training.</t>
  </si>
  <si>
    <t>No mapping, no training, no digital skills assessment</t>
  </si>
  <si>
    <t>No digital skills documentation</t>
  </si>
  <si>
    <t>Survey confirming absence of skills mapping</t>
  </si>
  <si>
    <t>Any digital skills assessment</t>
  </si>
  <si>
    <t>Skills mapping initiated but incomplete. Some digital trainings conducted without structured plan.</t>
  </si>
  <si>
    <t>Partial mapping, ad hoc training, no structured plan</t>
  </si>
  <si>
    <t>First skills assessments, occasional training</t>
  </si>
  <si>
    <t>At least partial skills mapping for ≥ 30% of employees in scope.</t>
  </si>
  <si>
    <t>Partial skills matrix, training certificates</t>
  </si>
  <si>
    <t>Incomplete mapping, no structured plan</t>
  </si>
  <si>
    <t>Skills mapping covering ≥ 70% of employees. Priority gaps identified. Training plan written with validated budget.</t>
  </si>
  <si>
    <t>Mapping ≥ 70%, gaps identified, approved training plan with budget</t>
  </si>
  <si>
    <t>Structured skills management, training plan in preparation</t>
  </si>
  <si>
    <t>Mapping ≥ 70%. Priority gaps identified. Training plan approved with budget.</t>
  </si>
  <si>
    <t>Skills matrix, gap analysis, approved training plan</t>
  </si>
  <si>
    <t>Training plan not yet executed or &lt; 50% complete</t>
  </si>
  <si>
    <t>Skills mapping complete (≥ 90%). Structured training plan executed ≥ 80%. Post-training skill level evaluations conducted.</t>
  </si>
  <si>
    <t>Mapping ≥ 90%, plan executed ≥ 80%, post-training evaluations</t>
  </si>
  <si>
    <t>Training plan operational, measured skill level improvements</t>
  </si>
  <si>
    <t>Mapping ≥ 90%. Plan executed ≥ 80%. Post-training evaluations covering ≥ 80% of participants.</t>
  </si>
  <si>
    <t>Skills matrix, execution report, post-training evaluations</t>
  </si>
  <si>
    <t>No internal trainers, no certification</t>
  </si>
  <si>
    <t>Complete skills mapping updated annually. Training plan executed ≥ 90%. Internal certifications. ≥ 2 active internal trainers. Job descriptions updated.</t>
  </si>
  <si>
    <t>Mapping updated, plan ≥ 90%, certifications, internal trainers, updated job descriptions</t>
  </si>
  <si>
    <t>Autonomous skills development, internal trainer network</t>
  </si>
  <si>
    <t>Annual mapping update. Plan ≥ 90%. ≥ 5 certified. ≥ 2 active internal trainers. Job descriptions updated.</t>
  </si>
  <si>
    <t>Annual mapping, training report, certificates, internal trainer list, updated job descriptions</t>
  </si>
  <si>
    <t>Recommended target for sites with advanced digital training maturity ambitions.</t>
  </si>
  <si>
    <t>Digital skills platform continuously updated. Internal training fully managed by internal trainers. Digital skills recognized and valorized in career management.</t>
  </si>
  <si>
    <t>Self-updating skills platform, autonomous internal trainers, skills valorized in careers</t>
  </si>
  <si>
    <t>Fully autonomous skills development, digital skills as recognized competitive advantage</t>
  </si>
  <si>
    <t>Skills platform autonomous. 100% training by internal trainers. Digital skills in career review criteria.</t>
  </si>
  <si>
    <t>Platform documentation, internal trainer reports, career review criteria</t>
  </si>
  <si>
    <t>No digital tool adoption. No digital champion. Teams resist digital tools. No digital innovation.</t>
  </si>
  <si>
    <t>Complete resistance or indifference to digital tools</t>
  </si>
  <si>
    <t>No digital tool actively used by operational teams</t>
  </si>
  <si>
    <t>Survey confirming tool non-use</t>
  </si>
  <si>
    <t>Any active tool adoption</t>
  </si>
  <si>
    <t>Some teams use digital tools but adoption is limited and not measured. No digital champion. No feedback process.</t>
  </si>
  <si>
    <t>Limited adoption, no champion, no measurement</t>
  </si>
  <si>
    <t>First digital tool users, mainly among technical staff</t>
  </si>
  <si>
    <t>At least one digital tool used by ≥ 20% of target users.</t>
  </si>
  <si>
    <t>Tool usage logs, user testimonials</t>
  </si>
  <si>
    <t>Low adoption, no champion, no feedback</t>
  </si>
  <si>
    <t>Digital champion appointed and active. Adoption measured for main tools (≥ 50%). Feedback process initiated.</t>
  </si>
  <si>
    <t>Active champion, adoption ≥ 50%, feedback initiated</t>
  </si>
  <si>
    <t>Digital champion supporting teams, measured adoption</t>
  </si>
  <si>
    <t>Digital champion appointed. Adoption ≥ 50% on ≥ 2 tools. Feedback process with ≥ 3 processed items.</t>
  </si>
  <si>
    <t>Champion mission brief, adoption reports, feedback register</t>
  </si>
  <si>
    <t>No structured POC process, no replication</t>
  </si>
  <si>
    <t>Adoption ≥ 70% on all main digital tools. Active feedback process. At least one structured POC conducted with documented results.</t>
  </si>
  <si>
    <t>Adoption ≥ 70%, active feedback, ≥ 1 documented POC</t>
  </si>
  <si>
    <t>Strong tool adoption, structured innovation approach</t>
  </si>
  <si>
    <t>Adoption ≥ 70%. Feedback process with ≥ 10 items processed. ≥ 1 documented POC with decision.</t>
  </si>
  <si>
    <t>Adoption reports, feedback register, POC documentation</t>
  </si>
  <si>
    <t>No replication, no external partnerships</t>
  </si>
  <si>
    <t>Adoption ≥ 80% on all tools. ≥ 2 successful POCs replicated. Formalized external innovation partnership. Active technology watch.</t>
  </si>
  <si>
    <t>Adoption ≥ 80%, ≥ 2 replications, formalized partnership, active watch</t>
  </si>
  <si>
    <t>Innovation culture anchored, recognized externally</t>
  </si>
  <si>
    <t>Adoption ≥ 80%. ≥ 2 documented replications. ≥ 1 formalized partnership. Quarterly watch report.</t>
  </si>
  <si>
    <t>Adoption reports, replication documentation, partnership contract, watch reports</t>
  </si>
  <si>
    <t>Recommended target for sites with advanced digital culture ambitions.</t>
  </si>
  <si>
    <t>Digital adoption sustained and continuously improving. Site as digital innovation reference. Active contribution to industrial AI ecosystem.</t>
  </si>
  <si>
    <t>Continuous self-improving adoption, reference site, contribution to ecosystem</t>
  </si>
  <si>
    <t>Site recognized as digital reference, active contributor to innovation ecosystem</t>
  </si>
  <si>
    <t>Adoption continuously improving. Site cited as reference. ≥ 2 external publications or presentations.</t>
  </si>
  <si>
    <t>Adoption trend reports, external citations, event presentations</t>
  </si>
  <si>
    <t>TARGET_LEVELS — Target levels by dimension (evaluator input)</t>
  </si>
  <si>
    <t>Target_Level_Default</t>
  </si>
  <si>
    <t>Target_Level_User</t>
  </si>
  <si>
    <t>Effective_Target_Level</t>
  </si>
  <si>
    <t>Target_Level_Description</t>
  </si>
  <si>
    <t>Complete documented OT network, virtualization deployed, measured availability.</t>
  </si>
  <si>
    <t>OPC UA operational, complete OT/IT integration, monitored flows.</t>
  </si>
  <si>
    <t>DCS covering ≥ 80% loops, nuisance rate &lt; 10%, MOC applied.</t>
  </si>
  <si>
    <t>Complete SCADA, standardized HMI, CBMS operational on critical equipment.</t>
  </si>
  <si>
    <t>Historian ≥ 12 months, data governance, automatic quality measurement.</t>
  </si>
  <si>
    <t>BI platform, structured RCAs, at least one ML model in production.</t>
  </si>
  <si>
    <t>OT/IT firewall, DMZ, OT AD + Jump Host, patch management applied.</t>
  </si>
  <si>
    <t>Digital policy approved, active committee, MOC applied, annual audits.</t>
  </si>
  <si>
    <t>Skills mapping complete, training plan executed ≥ 80%, internal trainers.</t>
  </si>
  <si>
    <t>Adoption ≥ 80%, active champion, structured POC process.</t>
  </si>
  <si>
    <t>WEIGHTS_CONFIGURATION — Weights configuration</t>
  </si>
  <si>
    <t>Hierarchy_Level</t>
  </si>
  <si>
    <t>Parent_ID</t>
  </si>
  <si>
    <t>Component_ID</t>
  </si>
  <si>
    <t>Component_Name</t>
  </si>
  <si>
    <t>Default_Weight</t>
  </si>
  <si>
    <t>User_Defined_Weight</t>
  </si>
  <si>
    <t>Effective_Weight</t>
  </si>
  <si>
    <t>Weight_Source</t>
  </si>
  <si>
    <t>Justification</t>
  </si>
  <si>
    <t>Validation_Status</t>
  </si>
  <si>
    <t>Pillar</t>
  </si>
  <si>
    <t>DMI</t>
  </si>
  <si>
    <t>Default</t>
  </si>
  <si>
    <t>Equal weight across 5 pillars. Configurable if context justifies.</t>
  </si>
  <si>
    <t>To be validated</t>
  </si>
  <si>
    <t>Opérations digitales</t>
  </si>
  <si>
    <t>Données &amp; Intelligence</t>
  </si>
  <si>
    <t>Gouvernance &amp; Cybersécurité</t>
  </si>
  <si>
    <t>Capital humain &amp; Compétences</t>
  </si>
  <si>
    <t>Dimension</t>
  </si>
  <si>
    <t>Pondération égale entre les 2 dimensions du pilier. Configurable.</t>
  </si>
  <si>
    <t>Connectivité &amp; Réseaux</t>
  </si>
  <si>
    <t>Supervision &amp; Monitoring</t>
  </si>
  <si>
    <t>Gestion des données</t>
  </si>
  <si>
    <t>Analyse &amp; Intelligence Artificielle</t>
  </si>
  <si>
    <t>Gouvernance numérique</t>
  </si>
  <si>
    <t>Compétences &amp; Formation</t>
  </si>
  <si>
    <t>Culture digitale &amp; Organisation</t>
  </si>
  <si>
    <t>Sub-dimension</t>
  </si>
  <si>
    <t>Pondération égale entre les 2 sous-dimensions de la dimension. Configurable.</t>
  </si>
  <si>
    <t>Serveurs &amp; Virtualisation</t>
  </si>
  <si>
    <t>Protocoles &amp; Interopérabilité</t>
  </si>
  <si>
    <t>Intégration OT/IT</t>
  </si>
  <si>
    <t>Automates &amp; Contrôle (DCS/PLC)</t>
  </si>
  <si>
    <t>MES &amp; Ordonnancement</t>
  </si>
  <si>
    <t>SCADA &amp; HMI</t>
  </si>
  <si>
    <t>Maintenance prédictive</t>
  </si>
  <si>
    <t>Historian &amp; Traçabilité</t>
  </si>
  <si>
    <t>Qualité &amp; Gouvernance des données</t>
  </si>
  <si>
    <t>Analytique &amp; Reporting</t>
  </si>
  <si>
    <t>IA &amp; Modélisation</t>
  </si>
  <si>
    <t>Sécurité périmétrique &amp; Segmentation</t>
  </si>
  <si>
    <t>Gestion des accès &amp; Authentification</t>
  </si>
  <si>
    <t>Politiques &amp; Processus digitaux</t>
  </si>
  <si>
    <t>Conformité &amp; Audit</t>
  </si>
  <si>
    <t>Niveaux de compétences digitales</t>
  </si>
  <si>
    <t>Plans de formation &amp; Développement</t>
  </si>
  <si>
    <t>Adoption des outils numériques</t>
  </si>
  <si>
    <t>Innovation &amp; Amélioration continue</t>
  </si>
  <si>
    <t>INDICATORS — 60 assessment indicators (3 per sub-dimension)</t>
  </si>
  <si>
    <t>Indicator_ID</t>
  </si>
  <si>
    <t>Indicator_Name</t>
  </si>
  <si>
    <t>Indicator_Objective</t>
  </si>
  <si>
    <t>Assessment_Question</t>
  </si>
  <si>
    <t>Indicator_Type</t>
  </si>
  <si>
    <t>Measurement_Mode</t>
  </si>
  <si>
    <t>Expected_Respondent</t>
  </si>
  <si>
    <t>Assessment_Perimeter</t>
  </si>
  <si>
    <t>Applicability_Condition</t>
  </si>
  <si>
    <t>Required_Evidence_Category</t>
  </si>
  <si>
    <t>Gap_Trigger_Code</t>
  </si>
  <si>
    <t>Assumptions</t>
  </si>
  <si>
    <t>I-D1-01</t>
  </si>
  <si>
    <t>OT Network Coverage</t>
  </si>
  <si>
    <t>Evaluate the percentage of field equipment connected to the OT industrial network</t>
  </si>
  <si>
    <t>What percentage of field equipment (controllers, sensors, actuators) is connected to a structured OT industrial network?</t>
  </si>
  <si>
    <t>Quantitative</t>
  </si>
  <si>
    <t>Documented measurement</t>
  </si>
  <si>
    <t>Instrumentation engineer / OT manager</t>
  </si>
  <si>
    <t>Entire site</t>
  </si>
  <si>
    <t>Network architecture, equipment inventory</t>
  </si>
  <si>
    <t>GAP-SD1.1-COV</t>
  </si>
  <si>
    <t>Indicator 100% observable on network diagrams</t>
  </si>
  <si>
    <t>I-D1-02</t>
  </si>
  <si>
    <t>OT Network Redundancy</t>
  </si>
  <si>
    <t>Evaluate the level of redundancy on critical OT network paths</t>
  </si>
  <si>
    <t>Are critical OT network paths (controller → control room) equipped with documented and tested redundancy?</t>
  </si>
  <si>
    <t>Qualitative</t>
  </si>
  <si>
    <t>Document review + test</t>
  </si>
  <si>
    <t>OT network engineer</t>
  </si>
  <si>
    <t>Critical network paths</t>
  </si>
  <si>
    <t>Structured OT network deployed</t>
  </si>
  <si>
    <t>Network diagram with redundancy, switchover test reports</t>
  </si>
  <si>
    <t>GAP-SD1.1-RED</t>
  </si>
  <si>
    <t>Verify redundancy on each critical path, not just globally</t>
  </si>
  <si>
    <t>I-D1-03</t>
  </si>
  <si>
    <t>OT Network Availability</t>
  </si>
  <si>
    <t>Evaluate OT network availability measurement and monitoring level</t>
  </si>
  <si>
    <t>Is OT network availability measured automatically and reported regularly?</t>
  </si>
  <si>
    <t>Documentation + NMS tool</t>
  </si>
  <si>
    <t>OT network administrator</t>
  </si>
  <si>
    <t>Entire OT network</t>
  </si>
  <si>
    <t>OT network deployed</t>
  </si>
  <si>
    <t>NMS dashboard, availability reports</t>
  </si>
  <si>
    <t>GAP-SD1.1-AVAIL</t>
  </si>
  <si>
    <t>Availability must be measured automatically (NMS), not manually estimated</t>
  </si>
  <si>
    <t>I-D1-04</t>
  </si>
  <si>
    <t>OT Server Virtualization</t>
  </si>
  <si>
    <t>Evaluate OT server virtualization deployment level</t>
  </si>
  <si>
    <t>What percentage of OT servers (DCS, SCADA, historian, OPC UA) are virtualized?</t>
  </si>
  <si>
    <t>Inventory + documentation</t>
  </si>
  <si>
    <t>OT infrastructure administrator</t>
  </si>
  <si>
    <t>OT servers</t>
  </si>
  <si>
    <t>Server inventory with virtualization status</t>
  </si>
  <si>
    <t>GAP-SD1.2-VIRT</t>
  </si>
  <si>
    <t>Count OT application VMs (not general IT VMs)</t>
  </si>
  <si>
    <t>I-D1-05</t>
  </si>
  <si>
    <t>OT Server Spare Capacity</t>
  </si>
  <si>
    <t>Evaluate available spare capacity on OT servers</t>
  </si>
  <si>
    <t>Are OT servers monitored for spare capacity (CPU, RAM, storage) with a target reserve ≥ 30%?</t>
  </si>
  <si>
    <t>System measurement</t>
  </si>
  <si>
    <t>Critical OT servers</t>
  </si>
  <si>
    <t>OT servers in production</t>
  </si>
  <si>
    <t>Capacity reports, capacity alert configuration</t>
  </si>
  <si>
    <t>GAP-SD1.2-CAP</t>
  </si>
  <si>
    <t>Measure on all axes simultaneously (CPU AND RAM AND storage)</t>
  </si>
  <si>
    <t>I-D1-06</t>
  </si>
  <si>
    <t>OT Disaster Recovery Plan</t>
  </si>
  <si>
    <t>Evaluate existence and testing level of OT disaster recovery plan</t>
  </si>
  <si>
    <t>Does a tested OT disaster recovery plan (DRP) exist with a measured RTO?</t>
  </si>
  <si>
    <t>Infrastructure manager</t>
  </si>
  <si>
    <t>OT servers virtualized</t>
  </si>
  <si>
    <t>DRP document, switchover test report with RTO</t>
  </si>
  <si>
    <t>GAP-SD1.2-DRP</t>
  </si>
  <si>
    <t>DRP must be physically tested, not just documented</t>
  </si>
  <si>
    <t>I-D2-01</t>
  </si>
  <si>
    <t>Protocol Standardization</t>
  </si>
  <si>
    <t>Evaluate standardization level of industrial protocols used on the site</t>
  </si>
  <si>
    <t>Are industrial protocols used on the site standardized (OPC UA, Modbus TCP, PROFINET) and documented in an interface matrix?</t>
  </si>
  <si>
    <t>Document review + interview</t>
  </si>
  <si>
    <t>Automation engineer</t>
  </si>
  <si>
    <t>OT systems and interfaces</t>
  </si>
  <si>
    <t>Interface matrix, protocol inventory</t>
  </si>
  <si>
    <t>GAP-SD2.1-PROT</t>
  </si>
  <si>
    <t>Prefer OPC UA as long-term standard; tolerate Modbus TCP and PROFINET for field equipment</t>
  </si>
  <si>
    <t>I-D2-02</t>
  </si>
  <si>
    <t>OPC UA Server Deployment</t>
  </si>
  <si>
    <t>Evaluate OPC UA server deployment and operational level</t>
  </si>
  <si>
    <t>Is an OPC UA server deployed and operational, exposing critical DCS/SCADA data?</t>
  </si>
  <si>
    <t>Technical test</t>
  </si>
  <si>
    <t>OT systems engineer</t>
  </si>
  <si>
    <t>OPC UA server</t>
  </si>
  <si>
    <t>DCS/SCADA operational</t>
  </si>
  <si>
    <t>OPC UA server demonstration, namespace documentation, connectivity tests</t>
  </si>
  <si>
    <t>GAP-SD2.1-OPCUA</t>
  </si>
  <si>
    <t>Verify that at least 20 critical tags are accessible and correctly updated</t>
  </si>
  <si>
    <t>I-D2-03</t>
  </si>
  <si>
    <t>OT Clock Synchronization</t>
  </si>
  <si>
    <t>Evaluate time synchronization deployment level on OT systems</t>
  </si>
  <si>
    <t>Are OT equipment clocks (DCS, SCADA, historian, controllers) synchronized via a time server (NTP or GPS)?</t>
  </si>
  <si>
    <t>Configuration review</t>
  </si>
  <si>
    <t>OT equipment</t>
  </si>
  <si>
    <t>Time server configuration, synchronization tests on several equipment</t>
  </si>
  <si>
    <t>GAP-SD2.1-TIME</t>
  </si>
  <si>
    <t>Verify synchronization on DCS, SCADA, historian AND field controllers</t>
  </si>
  <si>
    <t>I-D2-04</t>
  </si>
  <si>
    <t>OT/IT Integration Completeness</t>
  </si>
  <si>
    <t>Evaluate completeness of automated data flow between OT and IT systems</t>
  </si>
  <si>
    <t>What percentage of critical OT/IT interfaces are automated and bidirectional?</t>
  </si>
  <si>
    <t>Automation engineer / IT architect</t>
  </si>
  <si>
    <t>OT/IT interfaces</t>
  </si>
  <si>
    <t>OPC UA server deployed</t>
  </si>
  <si>
    <t>Complete interface matrix with flow status</t>
  </si>
  <si>
    <t>GAP-SD2.2-INT</t>
  </si>
  <si>
    <t>Count interfaces in both directions (OT→IT AND IT→OT) separately</t>
  </si>
  <si>
    <t>I-D2-05</t>
  </si>
  <si>
    <t>OT/IT Flow Monitoring</t>
  </si>
  <si>
    <t>Evaluate OT/IT data flow monitoring level</t>
  </si>
  <si>
    <t>Are OT/IT data flows monitored automatically with alerts in case of interruption or degradation?</t>
  </si>
  <si>
    <t>Demonstration + documentation</t>
  </si>
  <si>
    <t>OT/IT integration manager</t>
  </si>
  <si>
    <t>Critical OT/IT flows</t>
  </si>
  <si>
    <t>OT/IT integration partially deployed</t>
  </si>
  <si>
    <t>Flow monitoring dashboard, alert configuration, alert test reports</t>
  </si>
  <si>
    <t>GAP-SD2.2-MON</t>
  </si>
  <si>
    <t>Check that alerts actually trigger on simulated flow interruption</t>
  </si>
  <si>
    <t>I-D2-06</t>
  </si>
  <si>
    <t>OT/IT Flow Latency</t>
  </si>
  <si>
    <t>Evaluate latency level of critical OT/IT data flows</t>
  </si>
  <si>
    <t>Are latency SLAs defined and met on critical OT/IT flows (target &lt; 100ms for control data)?</t>
  </si>
  <si>
    <t>Complete OT/IT integration</t>
  </si>
  <si>
    <t>Latency measurement reports, defined SLAs</t>
  </si>
  <si>
    <t>GAP-SD2.2-LAT</t>
  </si>
  <si>
    <t>Measure on critical flows (APC, historian, MES) not just data exchange flows</t>
  </si>
  <si>
    <t>I-D3-01</t>
  </si>
  <si>
    <t>DCS/PLC Coverage</t>
  </si>
  <si>
    <t>Evaluate DCS/PLC coverage of process control loops</t>
  </si>
  <si>
    <t>What percentage of critical control loops is automated by DCS or PLC?</t>
  </si>
  <si>
    <t>Control loops</t>
  </si>
  <si>
    <t>I/O count report, DCS loop list</t>
  </si>
  <si>
    <t>GAP-SD3.1-COV</t>
  </si>
  <si>
    <t>Include safety interlocks and regulatory loops, not just control loops</t>
  </si>
  <si>
    <t>I-D3-02</t>
  </si>
  <si>
    <t>DCS Configuration Documentation</t>
  </si>
  <si>
    <t>Evaluate DCS configuration documentation level and change management application</t>
  </si>
  <si>
    <t>Is DCS configuration completely documented and all modifications managed via a MOC procedure?</t>
  </si>
  <si>
    <t>DCS configuration</t>
  </si>
  <si>
    <t>DCS deployed</t>
  </si>
  <si>
    <t>DCS documentation, MOC procedure, MOC modification register</t>
  </si>
  <si>
    <t>GAP-SD3.1-DOC</t>
  </si>
  <si>
    <t>Verify that the MOC procedure is actually applied (modification register)</t>
  </si>
  <si>
    <t>I-D3-03</t>
  </si>
  <si>
    <t>Alarm Nuisance Rate</t>
  </si>
  <si>
    <t>Evaluate alarm nuisance rate in DCS/SCADA system</t>
  </si>
  <si>
    <t>Is the alarm nuisance rate measured and below 10%?</t>
  </si>
  <si>
    <t>Alarm statistics extraction</t>
  </si>
  <si>
    <t>Automation engineer / Production safety manager</t>
  </si>
  <si>
    <t>DCS/SCADA alarm system</t>
  </si>
  <si>
    <t>DCS operational</t>
  </si>
  <si>
    <t>Alarm statistics over 90 days, nuisance rate calculation</t>
  </si>
  <si>
    <t>GAP-SD3.1-ALARM</t>
  </si>
  <si>
    <t>Nuisance rate = alarms requiring no operator action / total alarms × 100</t>
  </si>
  <si>
    <t>I-D3-04</t>
  </si>
  <si>
    <t>Production Traceability</t>
  </si>
  <si>
    <t>Evaluate automated production traceability level</t>
  </si>
  <si>
    <t>Is production traceability (batches, quantities, times, quality) automated from DCS to MES?</t>
  </si>
  <si>
    <t>Production engineer / MES administrator</t>
  </si>
  <si>
    <t>Production traceability</t>
  </si>
  <si>
    <t>MES traceability demonstration, batch reports</t>
  </si>
  <si>
    <t>GAP-SD3.2-TRACE</t>
  </si>
  <si>
    <t>Verify traceability of complete production cycles, not just current status</t>
  </si>
  <si>
    <t>I-D3-05</t>
  </si>
  <si>
    <t>MES Deployment</t>
  </si>
  <si>
    <t>Evaluate MES deployment and integration level with DCS and planning systems</t>
  </si>
  <si>
    <t>Is a MES operational and interfaced with DCS (via OPC UA) and planning systems?</t>
  </si>
  <si>
    <t>MES administrator</t>
  </si>
  <si>
    <t>MES system</t>
  </si>
  <si>
    <t>DCS and OPC UA deployed</t>
  </si>
  <si>
    <t>MES demonstration, MES/DCS interface documentation</t>
  </si>
  <si>
    <t>GAP-SD3.2-MES</t>
  </si>
  <si>
    <t>Verify bidirectional MES/DCS integration (real-time data + setpoint feedback)</t>
  </si>
  <si>
    <t>I-D3-06</t>
  </si>
  <si>
    <t>Production vs Plan Deviation Analysis</t>
  </si>
  <si>
    <t>Evaluate planned/actual production deviation analysis level</t>
  </si>
  <si>
    <t>Are planned/actual production deviations analyzed systematically and automatically?</t>
  </si>
  <si>
    <t>Production manager</t>
  </si>
  <si>
    <t>Production planning</t>
  </si>
  <si>
    <t>MES deployed</t>
  </si>
  <si>
    <t>Deviation analysis reports, automatic deviation alerts</t>
  </si>
  <si>
    <t>GAP-SD3.2-DEV</t>
  </si>
  <si>
    <t>Verify that deviations trigger documented actions, not just reports</t>
  </si>
  <si>
    <t>I-D4-01</t>
  </si>
  <si>
    <t>SCADA Coverage</t>
  </si>
  <si>
    <t>Evaluate SCADA supervision coverage of the entire industrial process</t>
  </si>
  <si>
    <t>What percentage of the industrial process is supervised via a centralized SCADA system?</t>
  </si>
  <si>
    <t>Supervision engineer</t>
  </si>
  <si>
    <t>Industrial process</t>
  </si>
  <si>
    <t>SCADA coverage diagram, supervisor workstation list</t>
  </si>
  <si>
    <t>GAP-SD4.1-COV</t>
  </si>
  <si>
    <t>Include all process units, not just the main unit</t>
  </si>
  <si>
    <t>I-D4-02</t>
  </si>
  <si>
    <t>HMI Standardization</t>
  </si>
  <si>
    <t>Evaluate operator interface standardization level</t>
  </si>
  <si>
    <t>Are operator interfaces (HMI) standardized according to a documented and applied charter?</t>
  </si>
  <si>
    <t>Observation + documentation</t>
  </si>
  <si>
    <t>Supervision engineer / Senior operator</t>
  </si>
  <si>
    <t>Operator interfaces (HMI)</t>
  </si>
  <si>
    <t>SCADA deployed</t>
  </si>
  <si>
    <t>HMI charter, HMI compliance audit</t>
  </si>
  <si>
    <t>GAP-SD4.1-HMI</t>
  </si>
  <si>
    <t>Verify charter application on new synoptics, not just old ones</t>
  </si>
  <si>
    <t>I-D4-03</t>
  </si>
  <si>
    <t>SCADA Alarm Management</t>
  </si>
  <si>
    <t>Evaluate SCADA alarm management level</t>
  </si>
  <si>
    <t>Is the SCADA alarm nuisance rate measured and below 10%?</t>
  </si>
  <si>
    <t>SCADA alarm system</t>
  </si>
  <si>
    <t>SCADA alarm statistics over 90 days</t>
  </si>
  <si>
    <t>GAP-SD4.1-ALARM</t>
  </si>
  <si>
    <t>Evaluate SCADA alarms separately from DCS alarms if systems are distinct</t>
  </si>
  <si>
    <t>I-D4-04</t>
  </si>
  <si>
    <t>Condition Sensor Coverage</t>
  </si>
  <si>
    <t>Evaluate condition sensor coverage on critical equipment</t>
  </si>
  <si>
    <t>What percentage of critical rotating equipment is equipped with condition sensors (vibration, temperature)?</t>
  </si>
  <si>
    <t>Reliability engineer</t>
  </si>
  <si>
    <t>Critical rotating equipment</t>
  </si>
  <si>
    <t>Condition sensor inventory, CBMS configuration</t>
  </si>
  <si>
    <t>GAP-SD4.2-SENS</t>
  </si>
  <si>
    <t>Include vibration, temperature AND electrical current sensors as appropriate</t>
  </si>
  <si>
    <t>I-D4-05</t>
  </si>
  <si>
    <t>CBMS Deployment</t>
  </si>
  <si>
    <t>Evaluate CBMS system deployment and operational level</t>
  </si>
  <si>
    <t>Is a CBMS system operational and generating maintenance alerts based on condition sensor data?</t>
  </si>
  <si>
    <t>Demonstration + maintenance interview</t>
  </si>
  <si>
    <t>Reliability engineer / Maintenance technician</t>
  </si>
  <si>
    <t>CBMS system</t>
  </si>
  <si>
    <t>Condition sensors deployed</t>
  </si>
  <si>
    <t>CBMS demonstration, maintenance alert reports</t>
  </si>
  <si>
    <t>GAP-SD4.2-CBMS</t>
  </si>
  <si>
    <t>Verify that CBMS alerts actually trigger maintenance actions (traceability)</t>
  </si>
  <si>
    <t>I-D4-06</t>
  </si>
  <si>
    <t>Predictive Maintenance Models</t>
  </si>
  <si>
    <t>Evaluate predictive failure model deployment level</t>
  </si>
  <si>
    <t>Are predictive maintenance ML models deployed in production and generating measurable avoided shutdowns?</t>
  </si>
  <si>
    <t>Document review + technical review</t>
  </si>
  <si>
    <t>Reliability engineer / Data scientist</t>
  </si>
  <si>
    <t>Predictive maintenance system</t>
  </si>
  <si>
    <t>CBMS operational ≥ 12 months</t>
  </si>
  <si>
    <t>Predictive model documentation, avoided shutdown reports</t>
  </si>
  <si>
    <t>GAP-SD4.2-PRED</t>
  </si>
  <si>
    <t>Verify model performance and real avoided shutdowns, not just prediction capability</t>
  </si>
  <si>
    <t>I-D5-01</t>
  </si>
  <si>
    <t>Historian Tag Coverage</t>
  </si>
  <si>
    <t>Evaluate industrial historian tag coverage</t>
  </si>
  <si>
    <t>What percentage of critical process tags is collected by the industrial historian?</t>
  </si>
  <si>
    <t>Historian configuration verification</t>
  </si>
  <si>
    <t>Historian administrator</t>
  </si>
  <si>
    <t>Industrial historian</t>
  </si>
  <si>
    <t>OPC UA deployed</t>
  </si>
  <si>
    <t>Historian tag list, collection completeness report</t>
  </si>
  <si>
    <t>GAP-SD5.1-COV</t>
  </si>
  <si>
    <t>Verify completeness rate (% of expected values actually received) not just number of tags</t>
  </si>
  <si>
    <t>I-D5-02</t>
  </si>
  <si>
    <t>Data Retention Duration</t>
  </si>
  <si>
    <t>Evaluate process data retention duration in historian</t>
  </si>
  <si>
    <t>Is process data retention configured for ≥ 12 months on critical tags?</t>
  </si>
  <si>
    <t>Historian deployed</t>
  </si>
  <si>
    <t>Historian retention configuration, data access over 12 months</t>
  </si>
  <si>
    <t>GAP-SD5.1-RET</t>
  </si>
  <si>
    <t>Verify that 12-month old data is actually accessible, not just configured</t>
  </si>
  <si>
    <t>I-D5-03</t>
  </si>
  <si>
    <t>Data Traceability</t>
  </si>
  <si>
    <t>Evaluate process data traceability to sensor source</t>
  </si>
  <si>
    <t>Is each historized data point traceable to its physical sensor source with a reliable timestamp?</t>
  </si>
  <si>
    <t>Traceability test</t>
  </si>
  <si>
    <t>Data Steward / Historian administrator</t>
  </si>
  <si>
    <t>Historized data</t>
  </si>
  <si>
    <t>Tag index, OT time synchronization documentation</t>
  </si>
  <si>
    <t>GAP-SD5.1-TRACE</t>
  </si>
  <si>
    <t>Test traceability on a random sample of 10 critical tags</t>
  </si>
  <si>
    <t>I-D5-04</t>
  </si>
  <si>
    <t>Data Quality Policy</t>
  </si>
  <si>
    <t>Evaluate formalization level of industrial data quality policy</t>
  </si>
  <si>
    <t>Does an approved industrial data quality policy with defined KPIs (completeness, freshness, consistency) exist?</t>
  </si>
  <si>
    <t>Document review</t>
  </si>
  <si>
    <t>Data Steward / Digital manager</t>
  </si>
  <si>
    <t>Industrial data</t>
  </si>
  <si>
    <t>Data quality policy, quality KPI definitions</t>
  </si>
  <si>
    <t>GAP-SD5.2-POL</t>
  </si>
  <si>
    <t>Policy must define minimum quality levels and responsibilities, not just principles</t>
  </si>
  <si>
    <t>I-D5-05</t>
  </si>
  <si>
    <t>Data Repository</t>
  </si>
  <si>
    <t>Evaluate completeness of industrial data repository</t>
  </si>
  <si>
    <t>Does a complete and maintained industrial data repository (tag dictionary, KPI definitions, data lineage) exist?</t>
  </si>
  <si>
    <t>Data quality tool review</t>
  </si>
  <si>
    <t>Data Steward</t>
  </si>
  <si>
    <t>Industrial data repository</t>
  </si>
  <si>
    <t>Data quality policy approved</t>
  </si>
  <si>
    <t>Data repository documentation, tag dictionary</t>
  </si>
  <si>
    <t>GAP-SD5.2-REF</t>
  </si>
  <si>
    <t>Repository must be actively maintained (last update &lt; 3 months)</t>
  </si>
  <si>
    <t>I-D5-06</t>
  </si>
  <si>
    <t>Automatic Data Quality Measurement</t>
  </si>
  <si>
    <t>Evaluate automatic data quality measurement level</t>
  </si>
  <si>
    <t>Is process data quality measured automatically with a tool and is the rate ≥ 95%?</t>
  </si>
  <si>
    <t>Automatic measurement</t>
  </si>
  <si>
    <t>Process data</t>
  </si>
  <si>
    <t>Data quality dashboard, quality measurement reports</t>
  </si>
  <si>
    <t>GAP-SD5.2-QUAL</t>
  </si>
  <si>
    <t>Measure on production data, not only on historical samples</t>
  </si>
  <si>
    <t>I-D6-01</t>
  </si>
  <si>
    <t>KPI Automation</t>
  </si>
  <si>
    <t>Evaluate operational KPI automation level</t>
  </si>
  <si>
    <t>What number of critical operational KPIs is automatically updated from historian data?</t>
  </si>
  <si>
    <t>Data engineer / Production manager</t>
  </si>
  <si>
    <t>Operational KPIs</t>
  </si>
  <si>
    <t>KPI dashboard, KPI definition documentation</t>
  </si>
  <si>
    <t>GAP-SD6.1-KPI</t>
  </si>
  <si>
    <t>Verify automatic update without manual intervention</t>
  </si>
  <si>
    <t>I-D6-02</t>
  </si>
  <si>
    <t>BI Platform Usage</t>
  </si>
  <si>
    <t>Evaluate industrial BI platform usage level</t>
  </si>
  <si>
    <t>Is an industrial BI platform used by ≥ 80% of engineers and managers for operational analyses?</t>
  </si>
  <si>
    <t>Observation + interview</t>
  </si>
  <si>
    <t>Data analyst / Production manager</t>
  </si>
  <si>
    <t>BI platform</t>
  </si>
  <si>
    <t>BI platform usage statistics, user testimonials</t>
  </si>
  <si>
    <t>GAP-SD6.1-BI</t>
  </si>
  <si>
    <t>Verify regular (at least weekly) usage, not occasional use</t>
  </si>
  <si>
    <t>I-D6-03</t>
  </si>
  <si>
    <t>Root Cause Analysis</t>
  </si>
  <si>
    <t>Evaluate structured root cause analysis maturity</t>
  </si>
  <si>
    <t>Are production and quality incident root causes analyzed in a structured way with a documented method?</t>
  </si>
  <si>
    <t>Review of analysis files</t>
  </si>
  <si>
    <t>Production manager / Process engineer</t>
  </si>
  <si>
    <t>Incident analysis</t>
  </si>
  <si>
    <t>Documented RCA analyses, RCA method documentation</t>
  </si>
  <si>
    <t>GAP-SD6.1-RCA</t>
  </si>
  <si>
    <t>Verify that RCAs actually identify root causes (not just symptoms)</t>
  </si>
  <si>
    <t>I-D6-04</t>
  </si>
  <si>
    <t>ML Models in Production</t>
  </si>
  <si>
    <t>Evaluate ML model deployment level in production</t>
  </si>
  <si>
    <t>How many ML models are in production on real industrial data with documented gains?</t>
  </si>
  <si>
    <t>Technical review</t>
  </si>
  <si>
    <t>Data scientist / AI engineer</t>
  </si>
  <si>
    <t>ML models</t>
  </si>
  <si>
    <t>Historian ≥ 12 months, data governance</t>
  </si>
  <si>
    <t>ML model documentation, performance reports, documented gains</t>
  </si>
  <si>
    <t>GAP-SD6.2-ML</t>
  </si>
  <si>
    <t>Only count models generating actual operational decisions (not POCs)</t>
  </si>
  <si>
    <t>I-D6-05</t>
  </si>
  <si>
    <t>ML Data Pipeline</t>
  </si>
  <si>
    <t>Evaluate ML data pipeline maturity</t>
  </si>
  <si>
    <t>Is the ML data pipeline documented and automated (from data collection to model serving)?</t>
  </si>
  <si>
    <t>POC file review</t>
  </si>
  <si>
    <t>Data engineer / ML engineer</t>
  </si>
  <si>
    <t>ML data pipeline</t>
  </si>
  <si>
    <t>ML models in production</t>
  </si>
  <si>
    <t>Pipeline documentation, automation tests</t>
  </si>
  <si>
    <t>GAP-SD6.2-PIPE</t>
  </si>
  <si>
    <t>Verify end-to-end automation: collection, cleaning, training, deployment</t>
  </si>
  <si>
    <t>I-D6-06</t>
  </si>
  <si>
    <t>MLOps Pipeline</t>
  </si>
  <si>
    <t>Evaluate MLOps pipeline maturity</t>
  </si>
  <si>
    <t>Is an MLOps pipeline operational with automatic monitoring, versioning and retraining?</t>
  </si>
  <si>
    <t>ML engineer / Data scientist</t>
  </si>
  <si>
    <t>MLOps platform</t>
  </si>
  <si>
    <t>ML models in production ≥ 6 months</t>
  </si>
  <si>
    <t>MLOps documentation, retraining logs, model versioning</t>
  </si>
  <si>
    <t>GAP-SD6.2-MLOPS</t>
  </si>
  <si>
    <t>Verify actual retraining (not just planned), with performance comparison before/after</t>
  </si>
  <si>
    <t>I-D7-01</t>
  </si>
  <si>
    <t>OT/IT Segmentation</t>
  </si>
  <si>
    <t>Evaluate OT/IT network segmentation level</t>
  </si>
  <si>
    <t>Is a documented firewall with approved rules deployed between OT and IT networks?</t>
  </si>
  <si>
    <t>OT cybersecurity engineer</t>
  </si>
  <si>
    <t>OT/IT segmentation</t>
  </si>
  <si>
    <t>Firewall documentation, segmentation tests, approved rules</t>
  </si>
  <si>
    <t>GAP-SD7.1-SEG</t>
  </si>
  <si>
    <t>Verify that segmentation actually blocks unauthorized flows (active test)</t>
  </si>
  <si>
    <t>I-D7-02</t>
  </si>
  <si>
    <t>OT DMZ Deployment</t>
  </si>
  <si>
    <t>Evaluate OT DMZ deployment level</t>
  </si>
  <si>
    <t>Is an L3.5 OT DMZ operational for secure OT/IT exchanges?</t>
  </si>
  <si>
    <t>OT DMZ</t>
  </si>
  <si>
    <t>OT/IT firewall deployed</t>
  </si>
  <si>
    <t>DMZ architecture documentation, DMZ flow test reports</t>
  </si>
  <si>
    <t>GAP-SD7.1-DMZ</t>
  </si>
  <si>
    <t>Verify that all OT/IT flows pass through DMZ (no direct bypass)</t>
  </si>
  <si>
    <t>I-D7-03</t>
  </si>
  <si>
    <t>OT Patch Management</t>
  </si>
  <si>
    <t>Evaluate OT patch management application level</t>
  </si>
  <si>
    <t>Is a formalized OT patch management policy applied with regular cycles?</t>
  </si>
  <si>
    <t>OT cybersecurity engineer / OT administrator</t>
  </si>
  <si>
    <t>OT patch management</t>
  </si>
  <si>
    <t>OT patch management policy, patch application reports</t>
  </si>
  <si>
    <t>GAP-SD7.1-PATCH</t>
  </si>
  <si>
    <t>Verify patch cycles are actually applied (not just planned)</t>
  </si>
  <si>
    <t>I-D7-04</t>
  </si>
  <si>
    <t>OT Active Directory</t>
  </si>
  <si>
    <t>Evaluate OT identity management centralization level</t>
  </si>
  <si>
    <t>Is a dedicated OT Active Directory operational, managing all OT accounts?</t>
  </si>
  <si>
    <t>OT AD administrator</t>
  </si>
  <si>
    <t>OT identity management</t>
  </si>
  <si>
    <t>OT DMZ deployed</t>
  </si>
  <si>
    <t>OT AD demonstration, OT account list</t>
  </si>
  <si>
    <t>GAP-SD7.2-AD</t>
  </si>
  <si>
    <t>Verify that OT AD is separate from IT AD (separate VM)</t>
  </si>
  <si>
    <t>I-D7-05</t>
  </si>
  <si>
    <t>Secure Remote Access</t>
  </si>
  <si>
    <t>Evaluate secure remote access level to OT systems</t>
  </si>
  <si>
    <t>Do all remote accesses to OT systems pass through a Jump Host with MFA and are they traced?</t>
  </si>
  <si>
    <t>Log review + test</t>
  </si>
  <si>
    <t>Cybersecurity administrator</t>
  </si>
  <si>
    <t>OT remote accesses</t>
  </si>
  <si>
    <t>OT AD deployed</t>
  </si>
  <si>
    <t>Jump Host access logs, MFA tests, session traces</t>
  </si>
  <si>
    <t>GAP-SD7.2-REMOTE</t>
  </si>
  <si>
    <t>Test remote access from outside and verify that it effectively passes through Jump Host</t>
  </si>
  <si>
    <t>I-D7-06</t>
  </si>
  <si>
    <t>Access Review</t>
  </si>
  <si>
    <t>Evaluate OT access rights review regularity</t>
  </si>
  <si>
    <t>Are OT access rights reviewed quarterly with immediate revocation of departing employees?</t>
  </si>
  <si>
    <t>OT AD administrator / HR</t>
  </si>
  <si>
    <t>OT access rights</t>
  </si>
  <si>
    <t>OT AD operational</t>
  </si>
  <si>
    <t>Access review reports, account revocation evidence</t>
  </si>
  <si>
    <t>GAP-SD7.2-REVIEW</t>
  </si>
  <si>
    <t>Verify immediate revocation, not delayed revocation after departure</t>
  </si>
  <si>
    <t>I-D8-01</t>
  </si>
  <si>
    <t>Digital Policy</t>
  </si>
  <si>
    <t>Evaluate digital policy formalization level</t>
  </si>
  <si>
    <t>Is a digital transformation policy written, approved by management and disseminated?</t>
  </si>
  <si>
    <t>Digital manager / Site director</t>
  </si>
  <si>
    <t>Digital policy</t>
  </si>
  <si>
    <t>Digital policy document, diffusion evidence</t>
  </si>
  <si>
    <t>GAP-SD8.1-POL</t>
  </si>
  <si>
    <t>Policy must be approved by site director (not just digital manager)</t>
  </si>
  <si>
    <t>I-D8-02</t>
  </si>
  <si>
    <t>Digital Governance Committee</t>
  </si>
  <si>
    <t>Evaluate digital governance committee effectiveness</t>
  </si>
  <si>
    <t>Is a digital steering committee active with regular meetings and documented decisions?</t>
  </si>
  <si>
    <t>Case review + interview</t>
  </si>
  <si>
    <t>Digital manager</t>
  </si>
  <si>
    <t>Digital governance committee</t>
  </si>
  <si>
    <t>Digital policy approved</t>
  </si>
  <si>
    <t>Committee meeting minutes over 12 months</t>
  </si>
  <si>
    <t>GAP-SD8.1-COM</t>
  </si>
  <si>
    <t>Verify meeting regularity (at least quarterly) and decision quality</t>
  </si>
  <si>
    <t>I-D8-03</t>
  </si>
  <si>
    <t>Digital Governance KPIs</t>
  </si>
  <si>
    <t>Evaluate digital governance KPI measurement level</t>
  </si>
  <si>
    <t>Are digital governance KPIs (project delivery rate, adoption rate, training execution) measured and reported?</t>
  </si>
  <si>
    <t>Digital governance KPIs</t>
  </si>
  <si>
    <t>Digital governance committee active</t>
  </si>
  <si>
    <t>KPI dashboard, digital governance reports</t>
  </si>
  <si>
    <t>GAP-SD8.1-KPI</t>
  </si>
  <si>
    <t>Verify that KPIs actually drive decisions (decision traceability)</t>
  </si>
  <si>
    <t>I-D8-04</t>
  </si>
  <si>
    <t>Digital Change Management</t>
  </si>
  <si>
    <t>Evaluate digital change management process application level</t>
  </si>
  <si>
    <t>Is a digital MOC procedure applied to all digital system modifications?</t>
  </si>
  <si>
    <t>Review of tracking table</t>
  </si>
  <si>
    <t>Digital manager / IT-OT manager</t>
  </si>
  <si>
    <t>Digital MOC</t>
  </si>
  <si>
    <t>MOC procedure, MOC modification register</t>
  </si>
  <si>
    <t>GAP-SD8.2-MOC</t>
  </si>
  <si>
    <t>Verify that MOC is applied to all types of modifications (OT, IT, data, processes)</t>
  </si>
  <si>
    <t>I-D8-05</t>
  </si>
  <si>
    <t>Digital Audit</t>
  </si>
  <si>
    <t>Evaluate digital audit plan execution level</t>
  </si>
  <si>
    <t>Is an annual digital audit plan executed and do non-conformities have a tracked remediation plan?</t>
  </si>
  <si>
    <t>Digital manager / Internal auditor</t>
  </si>
  <si>
    <t>Digital audit plan</t>
  </si>
  <si>
    <t>Audit plan, audit reports, NC remediation tracking</t>
  </si>
  <si>
    <t>GAP-SD8.2-AUDIT</t>
  </si>
  <si>
    <t>Verify NC closure rate (target: ≥ 90% within 6 months)</t>
  </si>
  <si>
    <t>I-D8-06</t>
  </si>
  <si>
    <t>Regulatory Compliance</t>
  </si>
  <si>
    <t>Evaluate digital regulatory compliance documentation level</t>
  </si>
  <si>
    <t>Is a regulatory compliance matrix up to date covering applicable regulations?</t>
  </si>
  <si>
    <t>Digital manager / Compliance manager</t>
  </si>
  <si>
    <t>Digital regulatory compliance</t>
  </si>
  <si>
    <t>Digital governance active</t>
  </si>
  <si>
    <t>Compliance matrix, last update date</t>
  </si>
  <si>
    <t>GAP-SD8.2-COMP</t>
  </si>
  <si>
    <t>Verify matrix update date (must be &lt; 12 months)</t>
  </si>
  <si>
    <t>I-D9-01</t>
  </si>
  <si>
    <t>Digital Skills Mapping</t>
  </si>
  <si>
    <t>Evaluate digital skills mapping completeness level</t>
  </si>
  <si>
    <t>Is a digital skills mapping covering ≥ 90% of employees in scope available and up to date?</t>
  </si>
  <si>
    <t>HR manager / Digital manager</t>
  </si>
  <si>
    <t>Digital skills mapping</t>
  </si>
  <si>
    <t>Skills matrix, last update date</t>
  </si>
  <si>
    <t>GAP-SD9.1-MAP</t>
  </si>
  <si>
    <t>Verify update date (must be &lt; 12 months) and population coverage</t>
  </si>
  <si>
    <t>I-D9-02</t>
  </si>
  <si>
    <t>Gap Identification and Prioritization</t>
  </si>
  <si>
    <t>Evaluate digital skills gap identification and prioritization level</t>
  </si>
  <si>
    <t>Are digital skills gaps identified, quantified and prioritized by operational criticality?</t>
  </si>
  <si>
    <t>Skills gap analysis</t>
  </si>
  <si>
    <t>Skills mapping done</t>
  </si>
  <si>
    <t>Gap analysis report with prioritization</t>
  </si>
  <si>
    <t>GAP-SD9.1-GAP</t>
  </si>
  <si>
    <t>Verify that prioritization is based on operational impact, not only frequency</t>
  </si>
  <si>
    <t>I-D9-03</t>
  </si>
  <si>
    <t>Skills in Job Descriptions</t>
  </si>
  <si>
    <t>Evaluate digital skills integration level in job descriptions</t>
  </si>
  <si>
    <t>Are required digital skills integrated in job descriptions by function?</t>
  </si>
  <si>
    <t>HR manager</t>
  </si>
  <si>
    <t>Job descriptions</t>
  </si>
  <si>
    <t>Updated job descriptions, comparison with skills matrix</t>
  </si>
  <si>
    <t>GAP-SD9.1-FP</t>
  </si>
  <si>
    <t>Verify that job descriptions are updated after training plan execution</t>
  </si>
  <si>
    <t>I-D9-04</t>
  </si>
  <si>
    <t>Digital Training Plan</t>
  </si>
  <si>
    <t>Evaluate digital training plan formalization and execution level</t>
  </si>
  <si>
    <t>Is a formal digital training plan approved with dedicated budget and execution rate ≥ 80%?</t>
  </si>
  <si>
    <t>HR manager / Training manager</t>
  </si>
  <si>
    <t>Digital training plan</t>
  </si>
  <si>
    <t>Approved training plan with budget, execution report</t>
  </si>
  <si>
    <t>GAP-SD9.2-PLAN</t>
  </si>
  <si>
    <t>Verify actual execution rate (sessions conducted / sessions planned)</t>
  </si>
  <si>
    <t>I-D9-05</t>
  </si>
  <si>
    <t>Post-training Evaluation</t>
  </si>
  <si>
    <t>Evaluate post-training skill level evaluation level</t>
  </si>
  <si>
    <t>Are post-training skill level evaluations systematically conducted?</t>
  </si>
  <si>
    <t>Post-training document review</t>
  </si>
  <si>
    <t>Training manager</t>
  </si>
  <si>
    <t>Post-training evaluations</t>
  </si>
  <si>
    <t>Training plan in execution</t>
  </si>
  <si>
    <t>Post-training evaluation reports, measured skill level improvements</t>
  </si>
  <si>
    <t>GAP-SD9.2-EVAL</t>
  </si>
  <si>
    <t>Verify that evaluations measure effective skill acquisition (not just satisfaction)</t>
  </si>
  <si>
    <t>I-D9-06</t>
  </si>
  <si>
    <t>Internal Trainers</t>
  </si>
  <si>
    <t>Evaluate internal digital trainer development level</t>
  </si>
  <si>
    <t>Are there active internal digital trainers capable of training other employees autonomously?</t>
  </si>
  <si>
    <t>Interview + mission brief review</t>
  </si>
  <si>
    <t>Internal digital trainers</t>
  </si>
  <si>
    <t>Training plan executed ≥ 2 years</t>
  </si>
  <si>
    <t>Internal trainer list, evidence of training sessions conducted</t>
  </si>
  <si>
    <t>GAP-SD9.2-TRAINER</t>
  </si>
  <si>
    <t>Verify actual sessions conducted by internal trainers (not just their designation)</t>
  </si>
  <si>
    <t>I-D10-01</t>
  </si>
  <si>
    <t>Digital Tool Adoption Rate</t>
  </si>
  <si>
    <t>Evaluate digital tool adoption rate by operational teams</t>
  </si>
  <si>
    <t>Is the adoption rate of main digital tools measured and above 80%?</t>
  </si>
  <si>
    <t>Tool measurement + interview</t>
  </si>
  <si>
    <t>Digital champion / IT-OT manager</t>
  </si>
  <si>
    <t>Digital tool adoption</t>
  </si>
  <si>
    <t>Digital tools deployed</t>
  </si>
  <si>
    <t>Tool usage logs, adoption reports</t>
  </si>
  <si>
    <t>GAP-SD10.1-ADOPT</t>
  </si>
  <si>
    <t>Measure active usage (at least weekly) not just account creation</t>
  </si>
  <si>
    <t>I-D10-02</t>
  </si>
  <si>
    <t>Digital Champion Effectiveness</t>
  </si>
  <si>
    <t>Evaluate digital champion role effectiveness</t>
  </si>
  <si>
    <t>Is a digital champion active with a documented mission and measurable actions?</t>
  </si>
  <si>
    <t>Site director / Digital manager</t>
  </si>
  <si>
    <t>Digital champion</t>
  </si>
  <si>
    <t>Mission brief, action list, adoption results</t>
  </si>
  <si>
    <t>GAP-SD10.1-CHAMP</t>
  </si>
  <si>
    <t>Verify that champion has tangible results (adoption improvement, feedback processed)</t>
  </si>
  <si>
    <t>I-D10-03</t>
  </si>
  <si>
    <t>User Feedback Process</t>
  </si>
  <si>
    <t>Evaluate structured user feedback collection and processing level</t>
  </si>
  <si>
    <t>Is a structured digital tool user feedback process active with documented corrective actions?</t>
  </si>
  <si>
    <t>Review of process + examples</t>
  </si>
  <si>
    <t>Digital champion / Digital manager</t>
  </si>
  <si>
    <t>Digital feedback process</t>
  </si>
  <si>
    <t>Feedback register, corrective action tracking</t>
  </si>
  <si>
    <t>GAP-SD10.1-FEED</t>
  </si>
  <si>
    <t>Verify that feedback generates concrete actions (not just collected and filed)</t>
  </si>
  <si>
    <t>I-D10-04</t>
  </si>
  <si>
    <t>Digital POC Approach</t>
  </si>
  <si>
    <t>Evaluate structured digital POC approach maturity</t>
  </si>
  <si>
    <t>Are digital POCs conducted in a structured way with defined objectives and documented results?</t>
  </si>
  <si>
    <t>Digital POC approach</t>
  </si>
  <si>
    <t>POC documentation with objectives, methods and results</t>
  </si>
  <si>
    <t>GAP-SD10.2-POC</t>
  </si>
  <si>
    <t>Verify that POC includes a go/no-go decision documented based on results</t>
  </si>
  <si>
    <t>I-D10-05</t>
  </si>
  <si>
    <t>Success Replication</t>
  </si>
  <si>
    <t>Evaluate digital success replication level across units</t>
  </si>
  <si>
    <t>Are successful digital initiatives replicated across several units or sites?</t>
  </si>
  <si>
    <t>Digital replication</t>
  </si>
  <si>
    <t>POC conducted</t>
  </si>
  <si>
    <t>Replication documentation, multi-unit deployment reports</t>
  </si>
  <si>
    <t>GAP-SD10.2-REPLIC</t>
  </si>
  <si>
    <t>Verify that replication is documented and its impact measured</t>
  </si>
  <si>
    <t>I-D10-06</t>
  </si>
  <si>
    <t>Innovation Partnerships</t>
  </si>
  <si>
    <t>Evaluate digital innovation partnership formalization level</t>
  </si>
  <si>
    <t>Are formalized innovation partnerships (startups, universities, clusters) active and contributing?</t>
  </si>
  <si>
    <t>Interview + document review</t>
  </si>
  <si>
    <t>Innovation partnerships</t>
  </si>
  <si>
    <t>Partnership contracts or agreements, contribution evidence</t>
  </si>
  <si>
    <t>GAP-SD10.2-PARTNER</t>
  </si>
  <si>
    <t>Verify that partnership generates concrete value (co-developed POC, shared technology watch)</t>
  </si>
  <si>
    <t>INDICATOR_SCORING_GRIDS — Detailed scoring grids (360 grids: 60 indicators × 6 levels)</t>
  </si>
  <si>
    <t>Score</t>
  </si>
  <si>
    <t>Score_Label</t>
  </si>
  <si>
    <t>Observable_Situation</t>
  </si>
  <si>
    <t>Mandatory_Criteria</t>
  </si>
  <si>
    <t>Disqualifying_Conditions</t>
  </si>
  <si>
    <t>Evaluator_Guidance</t>
  </si>
  <si>
    <t>Next_Score_Requirement</t>
  </si>
  <si>
    <t>No industrial network. Equipment operates without digital communication. Any data reading is manual or local.</t>
  </si>
  <si>
    <t>Field survey confirming isolation</t>
  </si>
  <si>
    <t>Verify on site that no network cable connects controllers to a supervision system.</t>
  </si>
  <si>
    <t>Relevé terrain confirmant l'absence</t>
  </si>
  <si>
    <t>Presence of at least one industrial network cable</t>
  </si>
  <si>
    <t>Vérifier l'ensemble des zones du site</t>
  </si>
  <si>
    <t>Deploy an OT industrial network on at least 30% of equipment</t>
  </si>
  <si>
    <t>Industrial network deployed on &lt; 30% of equipment. Some equipment communicates but without documentation.</t>
  </si>
  <si>
    <t>Partial network diagram or field observation</t>
  </si>
  <si>
    <t>Identify connected equipment and verify effective communication.</t>
  </si>
  <si>
    <t>Partial network diagram, equipment list</t>
  </si>
  <si>
    <t>Couverture ≥ 30 % des équipements</t>
  </si>
  <si>
    <t>Estimate coverage from available network diagrams</t>
  </si>
  <si>
    <t>Reach ≥ 50% coverage with a structured network</t>
  </si>
  <si>
    <t>Network covers 30-50% of critical equipment. Architecture partially documented.</t>
  </si>
  <si>
    <t>Partial network diagram, connectivity tests on some equipment</t>
  </si>
  <si>
    <t>Verify that documented equipment actually communicates.</t>
  </si>
  <si>
    <t>Partial OT network diagram, list of connected equipment</t>
  </si>
  <si>
    <t>Coverage &lt; 30% or undocumented network</t>
  </si>
  <si>
    <t>Require an updated network diagram</t>
  </si>
  <si>
    <t>Atteindre ≥ 70 % de couverture avec documentation complète</t>
  </si>
  <si>
    <t>Network covers 50-80% of critical equipment. Architecture documented. Connectivity tests passed.</t>
  </si>
  <si>
    <t>Complete network diagram, connectivity test report</t>
  </si>
  <si>
    <t>Verify coverage on complete equipment inventory.</t>
  </si>
  <si>
    <t>Up-to-date network architecture, operational NMS, coverage ≥ 70%</t>
  </si>
  <si>
    <t>Couverture &lt; 70 % ou NMS absent</t>
  </si>
  <si>
    <t>Verify the update date of the network architecture</t>
  </si>
  <si>
    <t>Atteindre ≥ 90 % de couverture avec redondance sur chemins critiques</t>
  </si>
  <si>
    <t>Network covers ≥ 80% of critical equipment. Architecture fully documented. All connections tested.</t>
  </si>
  <si>
    <t>Validated network diagram, complete connectivity tests</t>
  </si>
  <si>
    <t>Verify that non-critical equipment is also included in coverage plan.</t>
  </si>
  <si>
    <t>Architecture complète, tests de bascule documentés, alertes automatiques</t>
  </si>
  <si>
    <t>Couverture &lt; 90 % ou redondance non testée</t>
  </si>
  <si>
    <t>Demander les comptes-rendus de tests de bascule</t>
  </si>
  <si>
    <t>Deploy predictive network capacity management</t>
  </si>
  <si>
    <t>Network covers 100% of equipment. Architecture continuously updated. Coverage self-monitored.</t>
  </si>
  <si>
    <t>Complete network diagram with automatic update, NMS coverage report</t>
  </si>
  <si>
    <t>Verify automatic coverage update after each equipment addition.</t>
  </si>
  <si>
    <t>Network incident history, capacity planning report, SDN architecture</t>
  </si>
  <si>
    <t>Toute interruption non planifiée dans l'année écoulée</t>
  </si>
  <si>
    <t>Review the network incident log over 12 months</t>
  </si>
  <si>
    <t>Niveau d'excellence - maintenir et améliorer</t>
  </si>
  <si>
    <t>No redundancy. Any link failure interrupts supervision of the affected zone.</t>
  </si>
  <si>
    <t>Network diagram showing single paths</t>
  </si>
  <si>
    <t>Verify by physically removing a cable that supervision is interrupted.</t>
  </si>
  <si>
    <t>Network diagram confirming absence of redundancy</t>
  </si>
  <si>
    <t>Présence d'un second chemin, même non documenté</t>
  </si>
  <si>
    <t>Verify the network synoptic diagrams</t>
  </si>
  <si>
    <t>Documenter les chemins critiques et planifier leur redondance</t>
  </si>
  <si>
    <t>Redundancy exists on some paths but without documentation or formal testing.</t>
  </si>
  <si>
    <t>Partial observation or informal test</t>
  </si>
  <si>
    <t>Document existing redundancies before scoring above 1.</t>
  </si>
  <si>
    <t>Observation terrain, traces de câbles secondaires</t>
  </si>
  <si>
    <t>Redondance documentée ou testée</t>
  </si>
  <si>
    <t>Physically inspect the network infrastructure</t>
  </si>
  <si>
    <t>Documenter les chemins redondants existants</t>
  </si>
  <si>
    <t>Redundancy deployed on main critical paths. Architecture documented but not formally tested.</t>
  </si>
  <si>
    <t>Network diagram with redundancy, no formal test report</t>
  </si>
  <si>
    <t>Verify that redundancy is effective by a real switchover test.</t>
  </si>
  <si>
    <t>Network architecture mentioning redundancy</t>
  </si>
  <si>
    <t>Redondance non documentée ou non vérifiable</t>
  </si>
  <si>
    <t>Cross-reference network diagram with field inspection</t>
  </si>
  <si>
    <t>Tester la bascule et formaliser la procédure</t>
  </si>
  <si>
    <t>Redundancy on all critical paths. Tests conducted and documented. RTO measured.</t>
  </si>
  <si>
    <t>Complete redundant network diagram, switchover test report with RTO</t>
  </si>
  <si>
    <t>Verify all critical paths. Each path must have its own test report.</t>
  </si>
  <si>
    <t>Complete network architecture, switchover test report</t>
  </si>
  <si>
    <t>Chemins critiques sans redondance ou test jamais réalisé</t>
  </si>
  <si>
    <t>Exiger le dernier compte-rendu de test</t>
  </si>
  <si>
    <t>Automatiser la bascule et mesurer le temps de récupération</t>
  </si>
  <si>
    <t>Redundancy on all paths. RTO &lt; 1 min on all paths. Annual tests.</t>
  </si>
  <si>
    <t>Complete redundancy, test reports &lt; 1 year</t>
  </si>
  <si>
    <t>Verify that RTO is measured under realistic conditions.</t>
  </si>
  <si>
    <t>Automatic switchover logs, test reports, network SLA</t>
  </si>
  <si>
    <t>RTO non mesuré ou bascule manuelle</t>
  </si>
  <si>
    <t>Tester en direct la bascule automatique</t>
  </si>
  <si>
    <t>Deploy predictive network link supervision</t>
  </si>
  <si>
    <t>Automatic and instantaneous redundancy (&lt; 100ms). Self-monitoring of redundancy states.</t>
  </si>
  <si>
    <t>Automatic switchover logs, redundancy monitoring dashboard</t>
  </si>
  <si>
    <t>Verify that switchover time is actually &lt; 100ms.</t>
  </si>
  <si>
    <t>Blank network incident log over 12 months, multi-path architecture</t>
  </si>
  <si>
    <t>Any network interruption in the year</t>
  </si>
  <si>
    <t>Niveau d'excellence</t>
  </si>
  <si>
    <t>Availability not measured. Network failures discovered by operators during supervision losses.</t>
  </si>
  <si>
    <t>Operator testimonials confirming absence of measurement</t>
  </si>
  <si>
    <t>Confirm by asking operators how they discover network failures.</t>
  </si>
  <si>
    <t>Absence d'outil NMS ou de rapports</t>
  </si>
  <si>
    <t>Présence d'un rapport de disponibilité, même manuel</t>
  </si>
  <si>
    <t>Interview the network administrator</t>
  </si>
  <si>
    <t>Deploy a basic NMS tool</t>
  </si>
  <si>
    <t>Availability measured manually (failure log). No automated tool.</t>
  </si>
  <si>
    <t>Manual failure log</t>
  </si>
  <si>
    <t>Verify log completeness and calculation method.</t>
  </si>
  <si>
    <t>Cahiers de quart ou logs manuels</t>
  </si>
  <si>
    <t>Outil automatisé ou rapport structuré</t>
  </si>
  <si>
    <t>Examiner les cahiers de quart</t>
  </si>
  <si>
    <t>Deploy an automated NMS tool</t>
  </si>
  <si>
    <t>Availability measured via basic tool (ping monitoring). Monthly report manual.</t>
  </si>
  <si>
    <t>Basic monitoring tool, manual report</t>
  </si>
  <si>
    <t>Verify that measurement covers all OT network segments.</t>
  </si>
  <si>
    <t>Dashboard NMS actif, données de disponibilité collectées</t>
  </si>
  <si>
    <t>Objectif de disponibilité défini et suivi</t>
  </si>
  <si>
    <t>Accéder au dashboard NMS</t>
  </si>
  <si>
    <t>Définir un objectif de disponibilité (SLA) et le mesurer</t>
  </si>
  <si>
    <t>NMS operational measuring availability automatically. Monthly report produced. Target defined.</t>
  </si>
  <si>
    <t>NMS dashboard, monthly availability report, defined target</t>
  </si>
  <si>
    <t>Verify that NMS covers all critical OT network equipment.</t>
  </si>
  <si>
    <t>Rapport NMS mensuel, paramètre SLA configuré</t>
  </si>
  <si>
    <t>Objectif non défini ou rapport absent</t>
  </si>
  <si>
    <t>Consulter le dernier rapport NMS</t>
  </si>
  <si>
    <t>Déclencher des alertes automatiques si disponibilité &lt; seuil</t>
  </si>
  <si>
    <t>NMS with automatic alerts on degradation. SLA ≥ 99.5% measured and met. Quarterly report.</t>
  </si>
  <si>
    <t>NMS dashboard, SLA report, configured automatic alerts</t>
  </si>
  <si>
    <t>Verify that alerts actually trigger on NMS simulation.</t>
  </si>
  <si>
    <t>Logs d'alertes, procédure de réponse automatique</t>
  </si>
  <si>
    <t>Alertes non configurées ou non testées</t>
  </si>
  <si>
    <t>Tester une alerte de disponibilité en direct</t>
  </si>
  <si>
    <t>Predictive availability management. Incidents anticipated before occurrence. SLA continuously met.</t>
  </si>
  <si>
    <t>Predictive model documentation, 12-month SLA report without breach</t>
  </si>
  <si>
    <t>Verify that predictions actually anticipate incidents.</t>
  </si>
  <si>
    <t>Rapport annuel de disponibilité, modèle prédictif de capacité</t>
  </si>
  <si>
    <t>Disponibilité &lt; 99,9 % sur 12 mois</t>
  </si>
  <si>
    <t>Analyser le rapport annuel de disponibilité</t>
  </si>
  <si>
    <t>All OT servers are physical. No virtualization.</t>
  </si>
  <si>
    <t>Physical server inventory showing absence of VMs</t>
  </si>
  <si>
    <t>Verify by visiting the server room that no hypervisor is running.</t>
  </si>
  <si>
    <t>Inventaire serveurs physiques uniquement</t>
  </si>
  <si>
    <t>Présence d'un hyperviseur ou d'une VM</t>
  </si>
  <si>
    <t>Inventorier les serveurs en salle informatique</t>
  </si>
  <si>
    <t>Planifier la migration vers la virtualisation</t>
  </si>
  <si>
    <t>Virtualization initiated on &lt; 30% of OT servers. Mainly non-critical applications.</t>
  </si>
  <si>
    <t>Partial server inventory with VM status</t>
  </si>
  <si>
    <t>Identify virtualized vs physical critical servers.</t>
  </si>
  <si>
    <t>Rapport d'installation hyperviseur sur serveur non-prod</t>
  </si>
  <si>
    <t>Virtualisation sur serveurs de production</t>
  </si>
  <si>
    <t>Vérifier l'usage des VMs existantes</t>
  </si>
  <si>
    <t>Deploy virtualization on a non-critical production server</t>
  </si>
  <si>
    <t>30-60% of OT servers virtualized. Some critical applications on VMs.</t>
  </si>
  <si>
    <t>Server inventory with VM status, hypervisor configuration</t>
  </si>
  <si>
    <t>Verify that critical VMs are on redundant physical hosts.</t>
  </si>
  <si>
    <t>Configuration hyperviseur, liste des VMs en production</t>
  </si>
  <si>
    <t>Couverture &lt; 30 % ou virtualisation uniquement hors production</t>
  </si>
  <si>
    <t>Accéder à la console d'administration de l'hyperviseur</t>
  </si>
  <si>
    <t>Atteindre ≥ 60 % des services virtualisés</t>
  </si>
  <si>
    <t>≥ 60% of OT servers virtualized including critical ones. Validated by vendor.</t>
  </si>
  <si>
    <t>Server inventory, vendor validation for virtualization</t>
  </si>
  <si>
    <t>Verify vendor compatibility certificates for each virtualized critical application.</t>
  </si>
  <si>
    <t>Documentation hyperviseur, liste des VMs, console centralisée</t>
  </si>
  <si>
    <t>Moins de 60 % virtualisé ou gestion non centralisée</t>
  </si>
  <si>
    <t>Accéder à la console centralisée de gestion des VMs</t>
  </si>
  <si>
    <t>Virtualiser 100 % des serveurs OT non contraints par des DRM</t>
  </si>
  <si>
    <t>≥ 90% of OT servers virtualized. Physical servers reserved for safety-critical or incompatible applications.</t>
  </si>
  <si>
    <t>Complete server inventory, vendor validations, physical exception list</t>
  </si>
  <si>
    <t>Verify that remaining physical servers are documented with justification.</t>
  </si>
  <si>
    <t>Configuration HA, politique de sauvegarde, inventaire complet VMs</t>
  </si>
  <si>
    <t>VM critique sans HA ou sauvegarde non configurée</t>
  </si>
  <si>
    <t>Tester la procédure de restauration d'une VM critique</t>
  </si>
  <si>
    <t>Deploy orchestration and live migration</t>
  </si>
  <si>
    <t>100% virtualized infrastructure (where compatible). Self-managed VMs. Automated performance optimization.</t>
  </si>
  <si>
    <t>Complete VM infrastructure documentation, automated performance reports</t>
  </si>
  <si>
    <t>Verify VM self-management capability.</t>
  </si>
  <si>
    <t>Logs de migration à chaud, rapport disponibilité services, configuration orchestration</t>
  </si>
  <si>
    <t>Toute interruption de service liée à un serveur dans l'année</t>
  </si>
  <si>
    <t>Examiner les logs de migration à chaud</t>
  </si>
  <si>
    <t>Spare capacity not measured. Servers operate without resource tracking.</t>
  </si>
  <si>
    <t>Observation of absence of monitoring tools</t>
  </si>
  <si>
    <t>Verify by checking servers that no capacity monitoring tool is running.</t>
  </si>
  <si>
    <t>Rapports utilisation CPU/RAM/stockage &gt; 90 %</t>
  </si>
  <si>
    <t>Capacité de réserve mesurable</t>
  </si>
  <si>
    <t>Extraire les métriques d'utilisation des ressources</t>
  </si>
  <si>
    <t>Migrer vers une infrastructure avec capacité de réserve</t>
  </si>
  <si>
    <t>Spare capacity measured occasionally but without defined target. No automated alerts.</t>
  </si>
  <si>
    <t>Occasional measurement extract</t>
  </si>
  <si>
    <t>Verify that measurements cover CPU, RAM AND storage simultaneously.</t>
  </si>
  <si>
    <t>Estimation visuelle ou déclarative</t>
  </si>
  <si>
    <t>Rapport de capacité documenté</t>
  </si>
  <si>
    <t>Interroger l'administrateur sur les ressources disponibles</t>
  </si>
  <si>
    <t>Mesurer et documenter la capacité de réserve actuelle</t>
  </si>
  <si>
    <t>Spare capacity measured monthly. Available reserve identified but &lt; 30% on some axes.</t>
  </si>
  <si>
    <t>Monthly capacity report</t>
  </si>
  <si>
    <t>Verify all three axes and identify which are below 30%.</t>
  </si>
  <si>
    <t>Rapports utilisation serveurs, mesure ponctuelle</t>
  </si>
  <si>
    <t>Réserve &lt; 10 % ou réserve ≥ 30 % documentée</t>
  </si>
  <si>
    <t>Extraire les métriques d'utilisation actuelles</t>
  </si>
  <si>
    <t>Atteindre et documenter ≥ 30 % de réserve</t>
  </si>
  <si>
    <t>Spare capacity ≥ 30% on all axes. Automatic alerts at 70% utilization. Monthly report.</t>
  </si>
  <si>
    <t>Monthly capacity report with reserve ≥ 30%, configured alerts</t>
  </si>
  <si>
    <t>Verify that alerts effectively trigger on threshold test.</t>
  </si>
  <si>
    <t>Rapport de capacité mensuel, métriques automatiques ≥ 30 %</t>
  </si>
  <si>
    <t>Réserve &lt; 30 % sur l'un des axes</t>
  </si>
  <si>
    <t>Vérifier les métriques automatiques les plus récentes</t>
  </si>
  <si>
    <t>Deploy a forward capacity plan</t>
  </si>
  <si>
    <t>Spare capacity ≥ 30% with 2-year forward capacity plan. Preventive alerts at 60% utilization.</t>
  </si>
  <si>
    <t>Capacity report, forward plan, preventive alerts</t>
  </si>
  <si>
    <t>Verify that forward plan is based on actual historical consumption trends.</t>
  </si>
  <si>
    <t>Plan de capacité formalisé, historique alertes, planification extensions</t>
  </si>
  <si>
    <t>Alerte de capacité non configurée ou plan absent</t>
  </si>
  <si>
    <t>Consulter le plan de capacité et les alertes configurées</t>
  </si>
  <si>
    <t>Deploy predictive capacity management</t>
  </si>
  <si>
    <t>Spare capacity managed predictively by model. Zero saturation over 12 months.</t>
  </si>
  <si>
    <t>Capacity prediction model, 12-month saturation-free report</t>
  </si>
  <si>
    <t>Verify that predictive model has a real track record of anticipation.</t>
  </si>
  <si>
    <t>Modèles de prédiction, logs provisionnement auto, historique incidents</t>
  </si>
  <si>
    <t>Tout incident de saturation dans l'année</t>
  </si>
  <si>
    <t>Examiner le journal des incidents de capacité</t>
  </si>
  <si>
    <t>No DRP. Any OT server failure causes uncontrolled and unplanned shutdown.</t>
  </si>
  <si>
    <t>Confirmation of DRP absence by OT manager</t>
  </si>
  <si>
    <t>Verify that no documented recovery procedure exists for OT servers.</t>
  </si>
  <si>
    <t>Déclaration de l'administrateur, absence de document</t>
  </si>
  <si>
    <t>Existence d'une note ou procédure informelle</t>
  </si>
  <si>
    <t>Demander la documentation de reprise</t>
  </si>
  <si>
    <t>Rédiger un DRP minimal documentant les actions de récupération</t>
  </si>
  <si>
    <t>DRP exists informally (tacit knowledge) but not documented. No RTO defined.</t>
  </si>
  <si>
    <t>Verbal description of recovery procedure</t>
  </si>
  <si>
    <t>Document tacit knowledge before scoring above 1.</t>
  </si>
  <si>
    <t>Notes informelles ou email de procédure</t>
  </si>
  <si>
    <t>DRP formalisé et approuvé</t>
  </si>
  <si>
    <t>Demander à voir les documents informels</t>
  </si>
  <si>
    <t>Formaliser les procédures en un DRP documenté et approuvé</t>
  </si>
  <si>
    <t>DRP written but not tested. RTO defined in document. Backups configured.</t>
  </si>
  <si>
    <t>DRP document, backup configuration</t>
  </si>
  <si>
    <t>Verify that backups are actually tested (restoration test).</t>
  </si>
  <si>
    <t>Document DRP avec signature d'approbation</t>
  </si>
  <si>
    <t>DRP non approuvé ou absent</t>
  </si>
  <si>
    <t>Vérifier la date d'approbation et le périmètre</t>
  </si>
  <si>
    <t>Planifier un premier test du DRP</t>
  </si>
  <si>
    <t>DRP written, tested and approved. RTO measured during test. Test report produced.</t>
  </si>
  <si>
    <t>DRP document, signed test report with measured RTO</t>
  </si>
  <si>
    <t>Verify that DRP test was realistic (actual server failure, not simulation).</t>
  </si>
  <si>
    <t>DRP approuvé, compte-rendu de test, corrections documentées</t>
  </si>
  <si>
    <t>Test non réalisé ou lacunes non corrigées</t>
  </si>
  <si>
    <t>Consulter le compte-rendu du dernier test</t>
  </si>
  <si>
    <t>Planifier des tests annuels et mesurer le RTO/RPO</t>
  </si>
  <si>
    <t>DRP tested annually with increasingly short RTO. RTO &lt; 2 hours on all critical systems.</t>
  </si>
  <si>
    <t>Annual test reports with RTO trend, automated recovery documentation</t>
  </si>
  <si>
    <t>Verify RTO trend improvement over multiple tests.</t>
  </si>
  <si>
    <t>Rapport de test annuel, RTO/RPO mesurés vs objectifs</t>
  </si>
  <si>
    <t>RTO/RPO non définis ou non mesurés lors des tests</t>
  </si>
  <si>
    <t>Vérifier les métriques RTO/RPO du dernier test</t>
  </si>
  <si>
    <t>Automatiser les sauvegardes et tester la restauration automatique</t>
  </si>
  <si>
    <t>DRP with automatic switchover &lt; 15 minutes on critical systems. Self-validated after each incident.</t>
  </si>
  <si>
    <t>Automatic switchover documentation, post-incident validation logs</t>
  </si>
  <si>
    <t>Verify that automatic switchover works without human intervention.</t>
  </si>
  <si>
    <t>Rapport RTO &lt; 1h, configuration sauvegarde hors site, zéro incident de perte</t>
  </si>
  <si>
    <t>RTO ≥ 1h ou perte de données dans l'année</t>
  </si>
  <si>
    <t>Tester une restauration complète chronométrée</t>
  </si>
  <si>
    <t>No documented industrial protocols. Each interface uses proprietary or unknown protocol.</t>
  </si>
  <si>
    <t>Field survey confirming absence of standardization</t>
  </si>
  <si>
    <t>Verify by connecting to systems that communication protocols are truly proprietary.</t>
  </si>
  <si>
    <t>Relevé terrain ou déclaration</t>
  </si>
  <si>
    <t>Toute trace de protocoles normalisés partiels</t>
  </si>
  <si>
    <t>Confirmer l'absence par observation terrain et entretien</t>
  </si>
  <si>
    <t>Mettre en place protocoles normalisés partiels de base</t>
  </si>
  <si>
    <t>Some interfaces use standard protocols but without documentation or matrix.</t>
  </si>
  <si>
    <t>Partial protocol observation</t>
  </si>
  <si>
    <t>Document observed protocols before scoring above 1.</t>
  </si>
  <si>
    <t>Observation ou déclaration d'un responsable</t>
  </si>
  <si>
    <t>Documentation ou couverture ≥ 30 %</t>
  </si>
  <si>
    <t>Vérifier l'existence et l'étendue réelle</t>
  </si>
  <si>
    <t>Documenter et étendre protocoles normalisés partiels</t>
  </si>
  <si>
    <t>Main standard protocols identified and documented. Interface matrix covers ≥ 50% of interfaces.</t>
  </si>
  <si>
    <t>Partial interface matrix, protocol inventory</t>
  </si>
  <si>
    <t>Verify that matrix includes exchange direction.</t>
  </si>
  <si>
    <t>Documentation partielle, observation directe</t>
  </si>
  <si>
    <t>Couverture &lt; 50 % ou documentation absente</t>
  </si>
  <si>
    <t>Mesurer la couverture réelle sur le périmètre</t>
  </si>
  <si>
    <t>Atteindre couverture complète et documentation exhaustive</t>
  </si>
  <si>
    <t>All standard protocols documented. Complete interface matrix. OPC UA deployed on DCS.</t>
  </si>
  <si>
    <t>Complete interface matrix, OPC UA documentation</t>
  </si>
  <si>
    <t>Verify that matrix is up to date (last update &lt; 6 months).</t>
  </si>
  <si>
    <t>Documentation complète, validation managériale</t>
  </si>
  <si>
    <t>Couverture &lt; 90 % ou approbation manquante</t>
  </si>
  <si>
    <t>Vérifier la documentation et son niveau d'approbation</t>
  </si>
  <si>
    <t>Mesurer les performances et optimiser</t>
  </si>
  <si>
    <t>Full protocol standardization. Matrix complete and versioned.</t>
  </si>
  <si>
    <t>Versioned interface matrix, protocol standardization plan</t>
  </si>
  <si>
    <t>Verify compliance with planned long-term standard (OPC UA as target).</t>
  </si>
  <si>
    <t>Rapports de performance, actions correctives tracées</t>
  </si>
  <si>
    <t>Absence de mesure ou d'objectif défini</t>
  </si>
  <si>
    <t>Consulter les rapports de performance les plus récents</t>
  </si>
  <si>
    <t>Deploy a predictive or automated approach</t>
  </si>
  <si>
    <t>Self-updating protocols. Protocol anomalies detected automatically.</t>
  </si>
  <si>
    <t>Automatic protocol monitoring, anomaly detection logs</t>
  </si>
  <si>
    <t>Verify that automatic detection actually identifies real anomalies.</t>
  </si>
  <si>
    <t>Rapport annuel de performance, historique d'amélioration</t>
  </si>
  <si>
    <t>Régression ou stagnation sur les indicateurs</t>
  </si>
  <si>
    <t>Examiner les tendances sur 12 mois</t>
  </si>
  <si>
    <t>Niveau d'excellence - maintenir et partager les bonnes pratiques</t>
  </si>
  <si>
    <t>No OPC UA server. OT/IT data exchanges via manual files or obsolete OPC DA.</t>
  </si>
  <si>
    <t>Confirmation of OPC UA absence by OT engineer</t>
  </si>
  <si>
    <t>Verify that no OPC UA server process is running on any OT server.</t>
  </si>
  <si>
    <t>Toute trace de OPC UA en test</t>
  </si>
  <si>
    <t>Mettre en place OPC UA en test de base</t>
  </si>
  <si>
    <t>OPC UA server installed but not yet connected to DCS. No exposed tag.</t>
  </si>
  <si>
    <t>OPC UA server installation, no connectivity test</t>
  </si>
  <si>
    <t>Verify that OPC UA server is started and accessible.</t>
  </si>
  <si>
    <t>Documenter et étendre OPC UA en test</t>
  </si>
  <si>
    <t>OPC UA server connected to DCS. 1-20 critical tags exposed and accessible.</t>
  </si>
  <si>
    <t>OPC UA connectivity test on ≥ 1 tag, namespace documentation</t>
  </si>
  <si>
    <t>Verify that tags update in real time.</t>
  </si>
  <si>
    <t>OPC UA server operational. ≥ 20 critical tags exposed. Configuration documented. Security configured.</t>
  </si>
  <si>
    <t>OPC UA server demonstration, namespace documentation, security certificates</t>
  </si>
  <si>
    <t>Verify OPC UA security: certificates, authentication, transport encryption.</t>
  </si>
  <si>
    <t>OPC UA server with ≥ 100 tags. Latency &lt; 100ms on all critical tags. Security fully audited.</t>
  </si>
  <si>
    <t>OPC UA server with ≥ 100 tags, latency tests, security audit</t>
  </si>
  <si>
    <t>Verify latency under realistic load.</t>
  </si>
  <si>
    <t>OPC UA self-optimizing. Namespaces dynamically updated. Performance automatically adapted to load.</t>
  </si>
  <si>
    <t>Self-optimizing OPC UA documentation, performance adaptation logs</t>
  </si>
  <si>
    <t>Verify that namespace updates are automatic.</t>
  </si>
  <si>
    <t>No clock synchronization. Each system has its own clock drifting independently.</t>
  </si>
  <si>
    <t>Observed time differences between DCS, historian and SCADA</t>
  </si>
  <si>
    <t>Measure time on DCS, SCADA and historian simultaneously and compare.</t>
  </si>
  <si>
    <t>Toute trace de documentation informelle</t>
  </si>
  <si>
    <t>Mettre en place documentation informelle de base</t>
  </si>
  <si>
    <t>Partial clock synchronization on some systems. Significant residual drifts (&gt; 1 second).</t>
  </si>
  <si>
    <t>Partial synchronization configuration, measured drifts &gt; 1s</t>
  </si>
  <si>
    <t>Verify drift on critical systems: DCS, historian, OPC UA server.</t>
  </si>
  <si>
    <t>Documenter et étendre documentation informelle</t>
  </si>
  <si>
    <t>NTP server deployed. DCS and SCADA synchronized. Historian and controllers not yet synchronized.</t>
  </si>
  <si>
    <t>NTP server configuration, synchronization tests on DCS and SCADA</t>
  </si>
  <si>
    <t>Verify synchronization of ALL critical systems.</t>
  </si>
  <si>
    <t>NTP or GPS server. All OT systems synchronized. Drift &lt; 100ms.</t>
  </si>
  <si>
    <t>Time server configuration, synchronization tests on all systems, drift &lt; 100ms</t>
  </si>
  <si>
    <t>Verify drift on ALL systems including field controllers.</t>
  </si>
  <si>
    <t>Time synchronization with drift &lt; 10ms on all OT systems. Automatic alert on synchronization loss.</t>
  </si>
  <si>
    <t>Synchronization monitoring with &lt; 10ms drift, configured alerts</t>
  </si>
  <si>
    <t>Verify that alert triggers when synchronization is lost.</t>
  </si>
  <si>
    <t>Automatic time synchronization with self-correction. GPS redundancy. Drift &lt; 1ms.</t>
  </si>
  <si>
    <t>GPS time server documentation, &lt; 1ms drift tests, redundancy validation</t>
  </si>
  <si>
    <t>Verify GPS redundancy effectiveness.</t>
  </si>
  <si>
    <t>No automated OT/IT interface. All data exchanged manually.</t>
  </si>
  <si>
    <t>Confirmation of 100% manual exchanges</t>
  </si>
  <si>
    <t>Verify that no automated data flow exists between OT and IT systems.</t>
  </si>
  <si>
    <t>Toute trace de échanges manuels partiels</t>
  </si>
  <si>
    <t>Mettre en place échanges manuels partiels de base</t>
  </si>
  <si>
    <t>1-3 automated OT/IT interfaces. Mainly unidirectional. Not documented.</t>
  </si>
  <si>
    <t>Observation of existing automated interfaces</t>
  </si>
  <si>
    <t>Identify all automated interfaces and document their direction.</t>
  </si>
  <si>
    <t>Documenter et étendre échanges manuels partiels</t>
  </si>
  <si>
    <t>4-10 automated interfaces. Some bidirectional. Interface matrix covers ≥ 50%.</t>
  </si>
  <si>
    <t>Partial interface matrix with ≥ 50% coverage</t>
  </si>
  <si>
    <t>Verify bidirectionality of interfaces.</t>
  </si>
  <si>
    <t>≥ 80% of critical interfaces automated and bidirectional. Complete interface matrix.</t>
  </si>
  <si>
    <t>Complete interface matrix, interface test reports</t>
  </si>
  <si>
    <t>Verify that 'critical' includes all data flows needed for APC, MES and analytics.</t>
  </si>
  <si>
    <t>100% of critical interfaces automated. Secondary interfaces ≥ 80%. Interfaces versioned.</t>
  </si>
  <si>
    <t>Complete interface matrix with versioning, test reports</t>
  </si>
  <si>
    <t>Verify that secondary interfaces are also documented.</t>
  </si>
  <si>
    <t>Self-updating and self-monitoring interface architecture. Anomalies detected automatically.</t>
  </si>
  <si>
    <t>Interface self-monitoring logs, automatic anomaly detection</t>
  </si>
  <si>
    <t>Verify that self-monitoring covers all interface types.</t>
  </si>
  <si>
    <t>No flow monitoring. Flow interruptions discovered only when missing data is noticed.</t>
  </si>
  <si>
    <t>Confirmation of absent monitoring by IT/OT manager</t>
  </si>
  <si>
    <t>Ask how flow interruptions are currently detected.</t>
  </si>
  <si>
    <t>Toute trace de monitoring manuel</t>
  </si>
  <si>
    <t>Mettre en place monitoring manuel de base</t>
  </si>
  <si>
    <t>Manual flow monitoring (periodic verification). Interruptions detected with delay.</t>
  </si>
  <si>
    <t>Manual monitoring log</t>
  </si>
  <si>
    <t>Verify delay between interruption and detection.</t>
  </si>
  <si>
    <t>Documenter et étendre monitoring manuel</t>
  </si>
  <si>
    <t>Basic automated monitoring (periodic ping). No semantic monitoring.</t>
  </si>
  <si>
    <t>Basic monitoring configuration, alert log</t>
  </si>
  <si>
    <t>Verify that monitoring covers data flows, not just network connectivity.</t>
  </si>
  <si>
    <t>Flow monitoring operational with automatic real-time alerts on interruption or degradation.</t>
  </si>
  <si>
    <t>Flow monitoring dashboard, alert test report</t>
  </si>
  <si>
    <t>Verify that alert effectively triggers on simulated flow interruption.</t>
  </si>
  <si>
    <t>Flow monitoring with SLA alerts and latency measurement. Monthly SLA report.</t>
  </si>
  <si>
    <t>SLA monitoring dashboard, latency reports</t>
  </si>
  <si>
    <t>Verify that SLA is defined for each critical flow.</t>
  </si>
  <si>
    <t>Predictive flow monitoring. Anomalies anticipated before interruption.</t>
  </si>
  <si>
    <t>Predictive monitoring documentation, anomaly anticipation log</t>
  </si>
  <si>
    <t>Verify that predictions actually prevent interruptions.</t>
  </si>
  <si>
    <t>No latency measurement. No SLA defined for OT/IT flows.</t>
  </si>
  <si>
    <t>Confirmation of absent latency measurement</t>
  </si>
  <si>
    <t>Verify that no latency measurement tool is configured.</t>
  </si>
  <si>
    <t>Toute trace de mesure ponctuelle</t>
  </si>
  <si>
    <t>Mettre en place mesure ponctuelle de base</t>
  </si>
  <si>
    <t>Latency measured on some flows but without SLA. Measures occasional.</t>
  </si>
  <si>
    <t>Occasional latency measurements</t>
  </si>
  <si>
    <t>Identify flows where latency measurement is critical.</t>
  </si>
  <si>
    <t>Documenter et étendre mesure ponctuelle</t>
  </si>
  <si>
    <t>Latency measured on critical flows. Average latency 100-500ms. No defined SLA.</t>
  </si>
  <si>
    <t>Latency measurement reports without SLA</t>
  </si>
  <si>
    <t>Verify measurement under realistic load conditions.</t>
  </si>
  <si>
    <t>Latency SLAs defined on critical flows. Latency &lt; 100ms on ≥ 80% critical flows. Monthly measurement.</t>
  </si>
  <si>
    <t>Defined SLAs, monthly latency measurement reports</t>
  </si>
  <si>
    <t>Verify latency on ALL critical flows identified by applications.</t>
  </si>
  <si>
    <t>Latency &lt; 100ms on 100% critical flows. Automatic alerts on SLA breach. Quarterly optimization.</t>
  </si>
  <si>
    <t>SLA compliance dashboard, automatic alerts, optimization documentation</t>
  </si>
  <si>
    <t>Verify that alerts trigger on latency SLA breach.</t>
  </si>
  <si>
    <t>Latency managed dynamically by automatic QoS. SLA always met. Zero breach documented.</t>
  </si>
  <si>
    <t>Dynamic QoS documentation, 12-month breach-free SLA report</t>
  </si>
  <si>
    <t>Verify that QoS is actually dynamic.</t>
  </si>
  <si>
    <t>No DCS or PLC. 100% manual process control. No automated control loop.</t>
  </si>
  <si>
    <t>Field survey confirming 100% manual control</t>
  </si>
  <si>
    <t>Verify by checking equipment that no digital controller is installed.</t>
  </si>
  <si>
    <t>Toute trace de PLC isolés &lt; 30 %</t>
  </si>
  <si>
    <t>Mettre en place PLC isolés &lt; 30 % de base</t>
  </si>
  <si>
    <t>DCS/PLC deployed on &lt; 30% of critical loops. Automation focused on safety interlocks.</t>
  </si>
  <si>
    <t>DCS documentation or I/O count showing &lt; 30% coverage</t>
  </si>
  <si>
    <t>Verify that loops are actual control loops.</t>
  </si>
  <si>
    <t>Documenter et étendre PLC isolés &lt; 30 %</t>
  </si>
  <si>
    <t>DCS/PLC covers 30-60% of critical loops. Main process units automated.</t>
  </si>
  <si>
    <t>I/O count report, DCS configuration</t>
  </si>
  <si>
    <t>Verify complete I/O count report covering all process units.</t>
  </si>
  <si>
    <t>DCS/PLC covers 60-80% of critical loops. Configuration documented. MOC applied.</t>
  </si>
  <si>
    <t>I/O count report showing 60-80%, DCS documentation, MOC register</t>
  </si>
  <si>
    <t>Verify that remaining manual loops are identified.</t>
  </si>
  <si>
    <t>DCS/PLC covers ≥ 80% of critical loops. All loops documented. MOC applied systematically.</t>
  </si>
  <si>
    <t>I/O count report showing ≥ 80%, complete documentation, MOC register</t>
  </si>
  <si>
    <t>Verify that remaining loops not yet automated have a migration plan.</t>
  </si>
  <si>
    <t>DCS/PLC covers ≥ 95% of all loops. APC deployed on critical units.</t>
  </si>
  <si>
    <t>I/O count report showing ≥ 95%, APC documentation</t>
  </si>
  <si>
    <t>Verify APC performance: documented gains on ≥ 1 KPI.</t>
  </si>
  <si>
    <t>DCS configuration not documented. Modifications made without any process.</t>
  </si>
  <si>
    <t>Confirmation of absent documentation by automation engineer</t>
  </si>
  <si>
    <t>Verify that no DCS program documentation exists.</t>
  </si>
  <si>
    <t>Toute trace de notes informelles DCS</t>
  </si>
  <si>
    <t>Mettre en place notes informelles DCS de base</t>
  </si>
  <si>
    <t>Partial documentation (some programs or parameters). No MOC procedure.</t>
  </si>
  <si>
    <t>Partial DCS documentation</t>
  </si>
  <si>
    <t>Evaluate documentation coverage vs total configuration.</t>
  </si>
  <si>
    <t>Documenter et étendre notes informelles DCS</t>
  </si>
  <si>
    <t>DCS documentation covers ≥ 50% of configuration. MOC procedure written but not yet applied.</t>
  </si>
  <si>
    <t>DCS documentation, written MOC procedure</t>
  </si>
  <si>
    <t>Verify that MOC procedure is approved.</t>
  </si>
  <si>
    <t>Complete DCS documentation. MOC procedure applied with modification register.</t>
  </si>
  <si>
    <t>Complete DCS documentation, MOC register with ≥ 3 entries</t>
  </si>
  <si>
    <t>Verify that MOC register is actively updated.</t>
  </si>
  <si>
    <t>DCS documentation versioned with change history. MOC applied on 100% of modifications. Annual audit.</t>
  </si>
  <si>
    <t>Versioned documentation, complete MOC register, annual audit report</t>
  </si>
  <si>
    <t>Verify version history: each modification must be traceable to an approved MOC.</t>
  </si>
  <si>
    <t>DCS documentation self-updated after each MOC. Automatic version control.</t>
  </si>
  <si>
    <t>Self-update documentation system, automatic version control logs</t>
  </si>
  <si>
    <t>Verify that auto-update is effective.</t>
  </si>
  <si>
    <t>Alarm system not deployed or not configured. No alarms in the system.</t>
  </si>
  <si>
    <t>Confirmation of absent alarm system</t>
  </si>
  <si>
    <t>Verify that DCS has no configured alarm.</t>
  </si>
  <si>
    <t>Toute trace de alarmes documentées sans rationalisation</t>
  </si>
  <si>
    <t>Mettre en place alarmes documentées sans rationalisation de base</t>
  </si>
  <si>
    <t>Alarm system deployed but nuisance rate &gt; 30%. Operators in alarm flooding situation.</t>
  </si>
  <si>
    <t>Alarm statistics showing &gt; 30% nuisance rate</t>
  </si>
  <si>
    <t>Extract alarm statistics over ≥ 30 days.</t>
  </si>
  <si>
    <t>Documenter et étendre alarmes documentées sans rationalisation</t>
  </si>
  <si>
    <t>Nuisance rate 20-30%. Rationalization initiated but not yet completed.</t>
  </si>
  <si>
    <t>Alarm statistics showing 20-30%, partial rationalization report</t>
  </si>
  <si>
    <t>Verify rationalization approach: structured or empirical.</t>
  </si>
  <si>
    <t>Nuisance rate 10-20%. Rationalization workshops conducted. Alarm philosophy initiated.</t>
  </si>
  <si>
    <t>Alarm statistics showing 10-20%, draft alarm philosophy</t>
  </si>
  <si>
    <t>Verify rationalization was conducted with operators AND process engineers.</t>
  </si>
  <si>
    <t>Nuisance rate &lt; 10% measured over 30 consecutive days. Alarm philosophy approved.</t>
  </si>
  <si>
    <t>Alarm statistics &lt; 10% over ≥ 30 days, approved alarm philosophy</t>
  </si>
  <si>
    <t>Verify the 30-day measurement is after rationalization.</t>
  </si>
  <si>
    <t>Nuisance rate &lt; 5%. AI-based adaptive alarm thresholds.</t>
  </si>
  <si>
    <t>Alarm statistics &lt; 5%, adaptive threshold documentation</t>
  </si>
  <si>
    <t>Verify that adaptive thresholds are operational.</t>
  </si>
  <si>
    <t>No production traceability. Production history kept in paper notebooks or not kept at all.</t>
  </si>
  <si>
    <t>Confirmation of absent digital traceability</t>
  </si>
  <si>
    <t>Verify that no digital system records production events.</t>
  </si>
  <si>
    <t>Toute trace de suivi production manuel partiel</t>
  </si>
  <si>
    <t>Mettre en place suivi production manuel partiel de base</t>
  </si>
  <si>
    <t>Traceability partial and manual (Excel files or forms). Significant gaps in history.</t>
  </si>
  <si>
    <t>Manual traceability files</t>
  </si>
  <si>
    <t>Evaluate history completeness and gap rate.</t>
  </si>
  <si>
    <t>Documenter et étendre suivi production manuel partiel</t>
  </si>
  <si>
    <t>Partial automated traceability (key events logged in DCS). Batch traceability incomplete.</t>
  </si>
  <si>
    <t>DCS event logs, partial traceability</t>
  </si>
  <si>
    <t>Verify that DCS logs are used for traceability analysis.</t>
  </si>
  <si>
    <t>Production traceability automated (MES or SCADA module). Complete batches traceable.</t>
  </si>
  <si>
    <t>MES demonstration, complete batch traceability over ≥ 1 cycle</t>
  </si>
  <si>
    <t>Verify traceability covers a complete production cycle.</t>
  </si>
  <si>
    <t>Automated traceability with quality variable tracking. Complete and available for compliance audits.</t>
  </si>
  <si>
    <t>MES traceability demonstration, quality audit reports</t>
  </si>
  <si>
    <t>Verify traceability includes quality variables.</t>
  </si>
  <si>
    <t>Real-time traceability with continuous anomaly detection. Automatic quality alerts.</t>
  </si>
  <si>
    <t>Real-time traceability dashboard, quality anomaly alerts</t>
  </si>
  <si>
    <t>Verify that quality anomaly alerts actually trigger on real deviations.</t>
  </si>
  <si>
    <t>No MES. Production management relies exclusively on manual or paper methods.</t>
  </si>
  <si>
    <t>Confirmation of MES absence</t>
  </si>
  <si>
    <t>Verify that no MES or production management software is installed.</t>
  </si>
  <si>
    <t>Toute trace de outil basique semi-manuel</t>
  </si>
  <si>
    <t>Mettre en place outil basique semi-manuel de base</t>
  </si>
  <si>
    <t>MES project initiated or MES installed but not yet in production.</t>
  </si>
  <si>
    <t>MES project documentation or installation without production use</t>
  </si>
  <si>
    <t>Verify why MES is not yet in production.</t>
  </si>
  <si>
    <t>Documenter et étendre outil basique semi-manuel</t>
  </si>
  <si>
    <t>MES partially deployed. Not yet interfaced with DCS. Data entry partially manual.</t>
  </si>
  <si>
    <t>Partial MES demonstration, absence of MES/DCS interface</t>
  </si>
  <si>
    <t>Verify MES/DCS interface project status.</t>
  </si>
  <si>
    <t>MES operational and interfaced with DCS via OPC UA. Main functions used.</t>
  </si>
  <si>
    <t>MES demonstration, MES/DCS interface documentation, user training</t>
  </si>
  <si>
    <t>Verify that MES/DCS interface is bidirectional.</t>
  </si>
  <si>
    <t>MES fully integrated with DCS, historian and ERP. All production functions automated.</t>
  </si>
  <si>
    <t>Complete MES integration documentation, MES/ERP interface test</t>
  </si>
  <si>
    <t>Verify MES/ERP interface.</t>
  </si>
  <si>
    <t>MES with real-time dynamic scheduling. Automatic optimization based on production conditions.</t>
  </si>
  <si>
    <t>Dynamic scheduling demonstration, optimization documentation</t>
  </si>
  <si>
    <t>Verify that dynamic scheduling actually responds to real events.</t>
  </si>
  <si>
    <t>No planned/actual deviation analysis. No production target defined in digital form.</t>
  </si>
  <si>
    <t>Confirmation of absent deviation analysis</t>
  </si>
  <si>
    <t>Verify that production targets are not set in a digital system.</t>
  </si>
  <si>
    <t>Toute trace de analyse manuelle mensuelle</t>
  </si>
  <si>
    <t>Mettre en place analyse manuelle mensuelle de base</t>
  </si>
  <si>
    <t>Deviations calculated manually after the fact. No automatic analysis.</t>
  </si>
  <si>
    <t>Manual deviation calculation files</t>
  </si>
  <si>
    <t>Evaluate delay between occurrence and deviation detection.</t>
  </si>
  <si>
    <t>Documenter et étendre analyse manuelle mensuelle</t>
  </si>
  <si>
    <t>Deviations calculated automatically but without root cause analysis. Reports delayed.</t>
  </si>
  <si>
    <t>Automated deviation report, no RCA</t>
  </si>
  <si>
    <t>Verify analysis delay: how long before a deviation is detected?</t>
  </si>
  <si>
    <t>Automated deviation analysis with identification of main causes. Daily report.</t>
  </si>
  <si>
    <t>Daily deviation report, cause analysis</t>
  </si>
  <si>
    <t>Verify that cause analysis actually identifies process causes.</t>
  </si>
  <si>
    <t>Real-time automated analysis with automatic alerts on significant deviations. Structured RCA triggered.</t>
  </si>
  <si>
    <t>Real-time alerts, RCA triggered by deviation</t>
  </si>
  <si>
    <t>Verify that RCA is actually conducted and documented.</t>
  </si>
  <si>
    <t>Predictive deviation management. Deviations anticipated before occurrence.</t>
  </si>
  <si>
    <t>Predictive deviation documentation, target auto-adjustment logs</t>
  </si>
  <si>
    <t>Verify that predictions have a real performance track record.</t>
  </si>
  <si>
    <t>No SCADA. All supervision is local. Operators cannot see process from control room.</t>
  </si>
  <si>
    <t>Field survey confirming absence of SCADA</t>
  </si>
  <si>
    <t>Verify by visiting control room that no centralized supervision screen exists.</t>
  </si>
  <si>
    <t>Toute trace de SCADA partiel &lt; 30 %</t>
  </si>
  <si>
    <t>Mettre en place SCADA partiel &lt; 30 % de base</t>
  </si>
  <si>
    <t>SCADA deployed on &lt; 30% of process. Control room has partial and heterogeneous view.</t>
  </si>
  <si>
    <t>Partial SCADA coverage observation</t>
  </si>
  <si>
    <t>Identify which process units are supervised and which are not.</t>
  </si>
  <si>
    <t>Documenter et étendre SCADA partiel &lt; 30 %</t>
  </si>
  <si>
    <t>SCADA covers 30-60% of process. Control room has view of main units.</t>
  </si>
  <si>
    <t>SCADA coverage diagram showing 30-60%</t>
  </si>
  <si>
    <t>Verify that documented coverage corresponds to what is visible in control room.</t>
  </si>
  <si>
    <t>SCADA covers 60-80% of process. Standardized synoptics. Main alarms configured.</t>
  </si>
  <si>
    <t>SCADA coverage diagram showing 60-80%, synoptics validation</t>
  </si>
  <si>
    <t>Verify coverage on all process units.</t>
  </si>
  <si>
    <t>SCADA covers ≥ 80% of process. All synoptics documented. Alarms configured and rationalized.</t>
  </si>
  <si>
    <t>SCADA coverage showing ≥ 80%, complete synoptics, alarm statistics</t>
  </si>
  <si>
    <t>Verify that alarm rationalization has been conducted on SCADA alarms.</t>
  </si>
  <si>
    <t>SCADA covers 100% of process including ancillary equipment. Self-updating synoptics.</t>
  </si>
  <si>
    <t>100% coverage, self-update documentation</t>
  </si>
  <si>
    <t>Verify that self-updating synoptics are operational.</t>
  </si>
  <si>
    <t>No HMI charter. Each synoptic uses its own visual conventions. Highly heterogeneous interfaces.</t>
  </si>
  <si>
    <t>Observation of heterogeneous HMI</t>
  </si>
  <si>
    <t>Verify presence of different color conventions across synoptics.</t>
  </si>
  <si>
    <t>Toute trace de charte IHM informelle</t>
  </si>
  <si>
    <t>Mettre en place charte IHM informelle de base</t>
  </si>
  <si>
    <t>HMI standardization mentioned as objective but no document.</t>
  </si>
  <si>
    <t>Reference to HMI practices without formal document</t>
  </si>
  <si>
    <t>Verify that mentioned practices are consistently applied.</t>
  </si>
  <si>
    <t>Documenter et étendre charte IHM informelle</t>
  </si>
  <si>
    <t>HMI charter drafted but not yet approved. Applied to new synoptics only.</t>
  </si>
  <si>
    <t>Draft HMI charter, new synoptics compliant</t>
  </si>
  <si>
    <t>Verify why charter is not yet approved.</t>
  </si>
  <si>
    <t>HMI charter approved. Applied to ≥ 50% of synoptics. Compliance audit conducted.</t>
  </si>
  <si>
    <t>Approved HMI charter, compliance audit showing ≥ 50%</t>
  </si>
  <si>
    <t>Verify compliance audit was conducted independently.</t>
  </si>
  <si>
    <t>HMI charter applied to ≥ 80% of synoptics. Non-compliant synoptics have migration plan.</t>
  </si>
  <si>
    <t>HMI compliance audit showing ≥ 80%, migration plan</t>
  </si>
  <si>
    <t>Verify migration plan has defined deadlines and responsible owners.</t>
  </si>
  <si>
    <t>HMI charter applied to 100% of synoptics. New synoptics automatically validated.</t>
  </si>
  <si>
    <t>100% compliance, automatic validation documentation</t>
  </si>
  <si>
    <t>Verify automatic validation effectively blocks non-compliant synoptics.</t>
  </si>
  <si>
    <t>No alarm system in SCADA or alarm system completely unmanaged.</t>
  </si>
  <si>
    <t>Confirmation of absent SCADA alarm management</t>
  </si>
  <si>
    <t>Verify SCADA has no configured alarm or statistics not extracted.</t>
  </si>
  <si>
    <t>Toute trace de alarmes documentées sans KPI</t>
  </si>
  <si>
    <t>Mettre en place alarmes documentées sans KPI de base</t>
  </si>
  <si>
    <t>SCADA alarms deployed but nuisance rate &gt; 30%. No rationalization.</t>
  </si>
  <si>
    <t>SCADA alarm statistics showing &gt; 30%</t>
  </si>
  <si>
    <t>Extract SCADA alarm statistics over ≥ 30 days.</t>
  </si>
  <si>
    <t>Documenter et étendre alarmes documentées sans KPI</t>
  </si>
  <si>
    <t>SCADA nuisance rate 20-30%. Some alarms rationalized. No alarm philosophy.</t>
  </si>
  <si>
    <t>SCADA alarm statistics showing 20-30%, partial rationalization</t>
  </si>
  <si>
    <t>Verify rationalization was done with operators.</t>
  </si>
  <si>
    <t>SCADA nuisance rate 10-20%. Rationalization workshops done. Alarm philosophy drafted.</t>
  </si>
  <si>
    <t>SCADA alarm statistics 10-20%, draft alarm philosophy</t>
  </si>
  <si>
    <t>Verify that SCADA alarms are managed separately from DCS alarms.</t>
  </si>
  <si>
    <t>SCADA nuisance rate &lt; 10%. Alarm philosophy approved. Quarterly review.</t>
  </si>
  <si>
    <t>SCADA alarm statistics &lt; 10%, approved alarm philosophy, review calendar</t>
  </si>
  <si>
    <t>Verify that review is actually conducted quarterly.</t>
  </si>
  <si>
    <t>SCADA nuisance rate &lt; 5%. AI-based adaptive alarms.</t>
  </si>
  <si>
    <t>SCADA alarm statistics &lt; 5%, adaptive alarm documentation</t>
  </si>
  <si>
    <t>Verify that adaptive alarms are operational.</t>
  </si>
  <si>
    <t>No condition sensor on critical rotating equipment. Maintenance is 100% corrective or on fixed schedule.</t>
  </si>
  <si>
    <t>Field survey confirming absence of sensors</t>
  </si>
  <si>
    <t>Visit critical equipment and verify physical absence of sensors.</t>
  </si>
  <si>
    <t>Toute trace de capteurs sur &lt; 20 % équipements critiques</t>
  </si>
  <si>
    <t>Mettre en place capteurs sur &lt; 20 % équipements critiques de base</t>
  </si>
  <si>
    <t>Condition sensors deployed on &lt; 20% of critical equipment.</t>
  </si>
  <si>
    <t>Partial sensor inventory</t>
  </si>
  <si>
    <t>Identify equipment with sensors and verify data is collected.</t>
  </si>
  <si>
    <t>Documenter et étendre capteurs sur &lt; 20 % équipements critiques</t>
  </si>
  <si>
    <t>Sensors on 20-50% of critical equipment. Data collected but without CBMS.</t>
  </si>
  <si>
    <t>Sensor inventory 20-50%, data collection without CBMS</t>
  </si>
  <si>
    <t>Verify how sensor data is currently used.</t>
  </si>
  <si>
    <t>Sensors on 50-70% of critical equipment. CBMS initiated on some equipment.</t>
  </si>
  <si>
    <t>Sensor inventory 50-70%, partial CBMS deployment</t>
  </si>
  <si>
    <t>Verify that CBMS is actually operational.</t>
  </si>
  <si>
    <t>Sensors on ≥ 70% of critical equipment. CBMS operational with maintenance alerts.</t>
  </si>
  <si>
    <t>Sensor inventory ≥ 70%, CBMS alerts demonstration</t>
  </si>
  <si>
    <t>Verify that CBMS alerts trigger actual maintenance interventions.</t>
  </si>
  <si>
    <t>Sensors on ≥ 90% of critical equipment. Predictive models in production.</t>
  </si>
  <si>
    <t>Sensor inventory ≥ 90%, predictive model reports, shutdown log</t>
  </si>
  <si>
    <t>Verify that predictive models generate predictions before failure.</t>
  </si>
  <si>
    <t>No CBMS. Equipment condition not monitored digitally.</t>
  </si>
  <si>
    <t>Confirmation of CBMS absence</t>
  </si>
  <si>
    <t>Verify that no condition monitoring software is installed.</t>
  </si>
  <si>
    <t>Toute trace de CBMS en installation ou test</t>
  </si>
  <si>
    <t>Mettre en place CBMS en installation ou test de base</t>
  </si>
  <si>
    <t>CBMS installed but not configured. No operative alert.</t>
  </si>
  <si>
    <t>CBMS installation without configuration</t>
  </si>
  <si>
    <t>Verify why CBMS is not operational.</t>
  </si>
  <si>
    <t>Documenter et étendre CBMS en installation ou test</t>
  </si>
  <si>
    <t>CBMS partially configured. Alerts on some equipment. Teams not fully trained.</t>
  </si>
  <si>
    <t>Partial CBMS configuration, training status</t>
  </si>
  <si>
    <t>Verify that existing alerts trigger maintenance interventions.</t>
  </si>
  <si>
    <t>CBMS operational on ≥ 50% of critical equipment. Alerts triggering maintenance interventions.</t>
  </si>
  <si>
    <t>CBMS alerts demonstration, maintenance intervention log</t>
  </si>
  <si>
    <t>Verify maintenance intervention traceability for each CBMS alert.</t>
  </si>
  <si>
    <t>CBMS on ≥ 80% of critical equipment. Predictive thresholds. MTBF trend improving.</t>
  </si>
  <si>
    <t>CBMS coverage ≥ 80%, MTBF trend report</t>
  </si>
  <si>
    <t>Verify MTBF improvement is significant.</t>
  </si>
  <si>
    <t>CBMS on 100% of critical equipment. ML models deployed. Zero unplanned shutdowns documented.</t>
  </si>
  <si>
    <t>100% CBMS coverage, ML model reports, 12-month shutdown log</t>
  </si>
  <si>
    <t>Verify shutdown log: must show actual absence of unplanned shutdowns for ≥ 12 months.</t>
  </si>
  <si>
    <t>No predictive model. Maintenance is corrective or scheduled.</t>
  </si>
  <si>
    <t>Confirmation of absent predictive models</t>
  </si>
  <si>
    <t>Verify that no ML or statistical model is used for maintenance prediction.</t>
  </si>
  <si>
    <t>Toute trace de analyse vibratoire manuelle</t>
  </si>
  <si>
    <t>Mettre en place analyse vibratoire manuelle de base</t>
  </si>
  <si>
    <t>Predictive analysis initiated on historical data (POC phase). No model in production.</t>
  </si>
  <si>
    <t>POC documentation or CBMS data analysis</t>
  </si>
  <si>
    <t>Verify POC scope and production deployment timeline.</t>
  </si>
  <si>
    <t>Documenter et étendre analyse vibratoire manuelle</t>
  </si>
  <si>
    <t>At least one predictive model validated on historical data. Not yet in production.</t>
  </si>
  <si>
    <t>ML model validation report on historical data</t>
  </si>
  <si>
    <t>Verify that model has been validated on real data.</t>
  </si>
  <si>
    <t>At least one predictive model in production on a monitored critical equipment.</t>
  </si>
  <si>
    <t>Predictive model in production, performance report</t>
  </si>
  <si>
    <t>Verify that model predictions are used by maintenance teams.</t>
  </si>
  <si>
    <t>≥ 3 predictive models in production on different equipment types. Avoided shutdowns documented.</t>
  </si>
  <si>
    <t>Multiple model reports, avoided shutdown documentation</t>
  </si>
  <si>
    <t>Verify that avoided shutdowns are documented with methodology.</t>
  </si>
  <si>
    <t>Predictive models on all critical equipment. MLOps active. Zero unplanned shutdowns documented.</t>
  </si>
  <si>
    <t>Complete model coverage, MLOps documentation, 12-month shutdown log</t>
  </si>
  <si>
    <t>Verify MLOps effectiveness: actual retraining triggered by model drift.</t>
  </si>
  <si>
    <t>No industrial historian. No automated process data collection.</t>
  </si>
  <si>
    <t>Confirmation of historian absence</t>
  </si>
  <si>
    <t>Verify that no historian or process data collection tool is running.</t>
  </si>
  <si>
    <t>Toute trace de collecte manuelle dans fichiers</t>
  </si>
  <si>
    <t>Mettre en place collecte manuelle dans fichiers de base</t>
  </si>
  <si>
    <t>Historian installed on &lt; 20% of critical tags. Short retention (&lt; 1 month).</t>
  </si>
  <si>
    <t>Historian demonstration on &lt; 20% tags</t>
  </si>
  <si>
    <t>Verify effective collection on identified tags.</t>
  </si>
  <si>
    <t>Documenter et étendre collecte manuelle dans fichiers</t>
  </si>
  <si>
    <t>Historian collects 20-50% of critical tags. Retention 3-6 months. Partial documentation.</t>
  </si>
  <si>
    <t>Historian demonstration 20-50% tags, partial documentation</t>
  </si>
  <si>
    <t>Verify completeness rate on collected tags.</t>
  </si>
  <si>
    <t>Historian covers 50-80% of critical tags. Retention ≥ 6 months. Completeness rate ≥ 90%.</t>
  </si>
  <si>
    <t>Historian demonstration 50-80% tags, completeness report ≥ 90%</t>
  </si>
  <si>
    <t>Verify completeness rate is measured automatically.</t>
  </si>
  <si>
    <t>Historian covers ≥ 80% of critical tags. Retention ≥ 12 months. Completeness rate ≥ 95%.</t>
  </si>
  <si>
    <t>Historian demonstration ≥ 80% tags, retention ≥ 12 months, completeness ≥ 95%</t>
  </si>
  <si>
    <t>Verify that 12-month old data is actually accessible.</t>
  </si>
  <si>
    <t>Historian covers ≥ 95% of all tags. Retention ≥ 24 months. Completeness ≥ 99%.</t>
  </si>
  <si>
    <t>Historian demonstration ≥ 95%, retention ≥ 24 months, completeness ≥ 99%</t>
  </si>
  <si>
    <t>Verify that 24-month data is accessible.</t>
  </si>
  <si>
    <t>No retention policy. Data deleted randomly when storage is full.</t>
  </si>
  <si>
    <t>Confirmation of absent retention policy</t>
  </si>
  <si>
    <t>Verify by checking historian that no retention rule is configured.</t>
  </si>
  <si>
    <t>Toute trace de rétention &lt; 3 mois</t>
  </si>
  <si>
    <t>Mettre en place rétention &lt; 3 mois de base</t>
  </si>
  <si>
    <t>Retention configured empirically. No defined target. Retention &lt; 3 months on some tags.</t>
  </si>
  <si>
    <t>Empirical retention configuration</t>
  </si>
  <si>
    <t>Verify minimum retention across all collected tags.</t>
  </si>
  <si>
    <t>Documenter et étendre rétention &lt; 3 mois</t>
  </si>
  <si>
    <t>Retention policy written but not applied consistently. Retention 6-12 months on critical tags.</t>
  </si>
  <si>
    <t>Retention policy, configuration showing 6-12 months</t>
  </si>
  <si>
    <t>Verify retention is applied uniformly on ALL critical tags.</t>
  </si>
  <si>
    <t>Retention policy approved. Retention ≥ 12 months on all critical tags. Configured and verified.</t>
  </si>
  <si>
    <t>Retention policy, historian configuration, 12-month data access verification</t>
  </si>
  <si>
    <t>Verify data access at 12 months: request oldest data and verify accessibility.</t>
  </si>
  <si>
    <t>Retention ≥ 24 months on critical tags. ≥ 12 months on all other tags. Annual storage audit.</t>
  </si>
  <si>
    <t>Extended retention configuration, annual storage audit</t>
  </si>
  <si>
    <t>Verify that storage is sufficient for planned retention.</t>
  </si>
  <si>
    <t>Retention managed dynamically based on data value. Long retention on strategic variables.</t>
  </si>
  <si>
    <t>Dynamic retention policy documentation, auto-archiving logs</t>
  </si>
  <si>
    <t>Verify that dynamic retention actually works.</t>
  </si>
  <si>
    <t>No data traceability. Each tag is an anonymous number. No correspondence with physical sensor.</t>
  </si>
  <si>
    <t>Confirmation of absent traceability by historian admin</t>
  </si>
  <si>
    <t>Verify that no tag naming convention documents correspondence with sensors.</t>
  </si>
  <si>
    <t>Toute trace de traçabilité partielle manuelle</t>
  </si>
  <si>
    <t>Mettre en place traçabilité partielle manuelle de base</t>
  </si>
  <si>
    <t>Traceability exists for some tags (manually created correspondence list). Not systematic.</t>
  </si>
  <si>
    <t>Partial manual correspondence list</t>
  </si>
  <si>
    <t>Evaluate coverage of correspondence list vs total collected tags.</t>
  </si>
  <si>
    <t>Documenter et étendre traçabilité partielle manuelle</t>
  </si>
  <si>
    <t>Tag naming convention defined. Tag index covers ≥ 50% of collected tags. Clock synchronization partial.</t>
  </si>
  <si>
    <t>Tag naming convention, partial tag index</t>
  </si>
  <si>
    <t>Verify that naming convention is actually applied.</t>
  </si>
  <si>
    <t>Complete tag index. Traceability to sensor source for 100% of collected tags. Clock synchronization operational.</t>
  </si>
  <si>
    <t>Complete tag index, OT clock synchronization documentation</t>
  </si>
  <si>
    <t>Verify traceability test: take a random tag and trace it to its physical sensor.</t>
  </si>
  <si>
    <t>Tag index versioned with change history. Traceability validated by quality audit. Clock synchronization &lt; 100ms drift.</t>
  </si>
  <si>
    <t>Versioned tag index, quality audit, &lt; 100ms drift measurement</t>
  </si>
  <si>
    <t>Verify that tag index is updated when instruments are replaced.</t>
  </si>
  <si>
    <t>Self-updating tag index. Traceability automatically validated after each modification.</t>
  </si>
  <si>
    <t>Self-updating tag index documentation, &lt; 1ms drift verification</t>
  </si>
  <si>
    <t>Verify auto-update effectiveness by simulating an instrument replacement.</t>
  </si>
  <si>
    <t>No data quality policy. Data quality not defined or measured.</t>
  </si>
  <si>
    <t>Confirmation of absent quality policy</t>
  </si>
  <si>
    <t>Verify that no data quality document exists.</t>
  </si>
  <si>
    <t>Toute trace de notes informelles qualité</t>
  </si>
  <si>
    <t>Mettre en place notes informelles qualité de base</t>
  </si>
  <si>
    <t>Data quality concerns expressed but no formal policy. Ad hoc quality checks.</t>
  </si>
  <si>
    <t>Informal quality discussions or ad hoc checks</t>
  </si>
  <si>
    <t>Verify what quality checks are currently done and by whom.</t>
  </si>
  <si>
    <t>Documenter et étendre notes informelles qualité</t>
  </si>
  <si>
    <t>Data quality policy written. KPIs defined. Not yet approved.</t>
  </si>
  <si>
    <t>Draft data quality policy, defined KPIs</t>
  </si>
  <si>
    <t>Verify that KPIs have defined minimum thresholds.</t>
  </si>
  <si>
    <t>Data quality policy approved. Data steward designated. Quality KPIs measured periodically.</t>
  </si>
  <si>
    <t>Approved quality policy, data steward appointment, periodic quality reports</t>
  </si>
  <si>
    <t>Verify that data steward has sufficient time and authority.</t>
  </si>
  <si>
    <t>Data quality policy with automatic measurement and alerts. Quality SLAs defined per source.</t>
  </si>
  <si>
    <t>Quality policy with automatic measurement, SLAs per source, quality alerts</t>
  </si>
  <si>
    <t>Verify that quality alerts effectively trigger corrective actions.</t>
  </si>
  <si>
    <t>Data quality continuously self-optimized. AI quality correction. Zero critical gap.</t>
  </si>
  <si>
    <t>AI imputation documentation, 12-month zero gap report</t>
  </si>
  <si>
    <t>Verify that imputation is configured conservatively.</t>
  </si>
  <si>
    <t>No industrial data repository. Each team has its own KPI definitions, often inconsistent.</t>
  </si>
  <si>
    <t>Confirmation of absent repository by data steward or digital manager</t>
  </si>
  <si>
    <t>Verify that no tag dictionary or KPI definition document exists.</t>
  </si>
  <si>
    <t>Toute trace de liste informelle de tags</t>
  </si>
  <si>
    <t>Mettre en place liste informelle de tags de base</t>
  </si>
  <si>
    <t>Informal repository (Excel or SharePoint). Incomplete and not maintained.</t>
  </si>
  <si>
    <t>Informal repository documentation</t>
  </si>
  <si>
    <t>Verify last update date and version consistency.</t>
  </si>
  <si>
    <t>Documenter et étendre liste informelle de tags</t>
  </si>
  <si>
    <t>Formal repository initiated. Tag dictionary covers ≥ 50% of critical tags. KPIs partially defined.</t>
  </si>
  <si>
    <t>Formal repository, ≥ 50% coverage</t>
  </si>
  <si>
    <t>Verify that repository is accessible to all analytical teams.</t>
  </si>
  <si>
    <t>Complete repository. Tag dictionary, KPI definitions, data lineage. Maintained actively.</t>
  </si>
  <si>
    <t>Complete repository, update date &lt; 3 months</t>
  </si>
  <si>
    <t>Verify update date and verify that repository is actually used.</t>
  </si>
  <si>
    <t>Repository with versioning and change history. API accessible for automation.</t>
  </si>
  <si>
    <t>Versioned repository, API access documentation</t>
  </si>
  <si>
    <t>Verify API access: can analytics tools directly query the repository?</t>
  </si>
  <si>
    <t>Self-updating repository from DCS/historian changes. Continuous metadata quality validation.</t>
  </si>
  <si>
    <t>Self-updating repository documentation, metadata quality validation logs</t>
  </si>
  <si>
    <t>Verify auto-update works on a real instrument replacement scenario.</t>
  </si>
  <si>
    <t>Data quality not measured automatically. No quality tool deployed.</t>
  </si>
  <si>
    <t>Confirmation of absent automatic measurement</t>
  </si>
  <si>
    <t>Verify that no automatic quality monitoring process is running.</t>
  </si>
  <si>
    <t>Toute trace de mesure manuelle ponctuelle</t>
  </si>
  <si>
    <t>Mettre en place mesure manuelle ponctuelle de base</t>
  </si>
  <si>
    <t>Manual quality checks occasionally. No automatic tool.</t>
  </si>
  <si>
    <t>Manual quality check documentation</t>
  </si>
  <si>
    <t>Verify check frequency and methodology.</t>
  </si>
  <si>
    <t>Documenter et étendre mesure manuelle ponctuelle</t>
  </si>
  <si>
    <t>Basic automatic measurement on some critical tags. Quality rate 85-90%. No alerts.</t>
  </si>
  <si>
    <t>Basic quality measurement configuration</t>
  </si>
  <si>
    <t>Verify measurement coverage and granularity.</t>
  </si>
  <si>
    <t>Automatic quality measurement on all collected tags. Rate ≥ 90%. Quality dashboard operational.</t>
  </si>
  <si>
    <t>Quality dashboard showing ≥ 90% rate on all tags</t>
  </si>
  <si>
    <t>Verify that dashboard is accessible to data consumers.</t>
  </si>
  <si>
    <t>Automatic quality measurement rate ≥ 95%. Automatic alerts on quality below threshold.</t>
  </si>
  <si>
    <t>Quality dashboard showing ≥ 95%, configured alerts, monthly report</t>
  </si>
  <si>
    <t>Verify that alerts trigger corrective actions.</t>
  </si>
  <si>
    <t>Quality rate ≥ 99%. AI automatic quality correction. Zero critical gap over 12 months.</t>
  </si>
  <si>
    <t>Quality dashboard showing ≥ 99%, AI correction documentation</t>
  </si>
  <si>
    <t>Verify AI correction is conservative.</t>
  </si>
  <si>
    <t>No automated KPI. All performance indicators calculated manually after the fact.</t>
  </si>
  <si>
    <t>Confirmation of absent automated KPIs by production manager</t>
  </si>
  <si>
    <t>Verify that no automatic KPI dashboard is accessible.</t>
  </si>
  <si>
    <t>Toute trace de tableau de bord manuel Excel</t>
  </si>
  <si>
    <t>Mettre en place tableau de bord manuel Excel de base</t>
  </si>
  <si>
    <t>1-3 automated KPIs. Not connected to historian. Manual update delay.</t>
  </si>
  <si>
    <t>Observation of 1-3 basic automated KPIs</t>
  </si>
  <si>
    <t>Verify that KPIs update automatically.</t>
  </si>
  <si>
    <t>Documenter et étendre tableau de bord manuel Excel</t>
  </si>
  <si>
    <t>4-10 automated KPIs connected to historian. Daily or weekly update.</t>
  </si>
  <si>
    <t>KPI dashboard showing 4-10 automated KPIs</t>
  </si>
  <si>
    <t>Verify update frequency and whether KPIs are used in operational decisions.</t>
  </si>
  <si>
    <t>10-20 automated KPIs. Real-time update (&lt; 5 min). Available at all levels.</t>
  </si>
  <si>
    <t>KPI dashboard showing 10-20 KPIs, update frequency &lt; 5 min, multilevel access</t>
  </si>
  <si>
    <t>Verify that KPIs are used in daily meetings.</t>
  </si>
  <si>
    <t>≥ 20 automated operational KPIs with trend and benchmark. Alerts on drift. Mobile access.</t>
  </si>
  <si>
    <t>KPI dashboard showing ≥ 20 KPIs, alerts, mobile access</t>
  </si>
  <si>
    <t>Verify that drift alerts trigger documented corrective actions.</t>
  </si>
  <si>
    <t>≥ 30 automated KPIs. Predictive KPIs (forecast). KPIs self-adapting to context.</t>
  </si>
  <si>
    <t>≥ 30 KPI dashboard, predictive KPI documentation</t>
  </si>
  <si>
    <t>Verify that predictive KPIs have actual performance track record.</t>
  </si>
  <si>
    <t>No BI platform. All analysis in Excel or manual.</t>
  </si>
  <si>
    <t>Confirmation of absent BI platform</t>
  </si>
  <si>
    <t>Verify that no BI tool is connected to operational data.</t>
  </si>
  <si>
    <t>Toute trace de BI généraliste non connectée OT</t>
  </si>
  <si>
    <t>Mettre en place BI généraliste non connectée OT de base</t>
  </si>
  <si>
    <t>BI platform installed but used by &lt; 20% of engineers. Only by IT team.</t>
  </si>
  <si>
    <t>Partial BI platform observation</t>
  </si>
  <si>
    <t>Verify who actually uses the BI platform and how frequently.</t>
  </si>
  <si>
    <t>Documenter et étendre BI généraliste non connectée OT</t>
  </si>
  <si>
    <t>BI platform used by 20-50% of engineers. Mainly for reporting.</t>
  </si>
  <si>
    <t>BI usage statistics showing 20-50%</t>
  </si>
  <si>
    <t>Verify usage statistics are reliable.</t>
  </si>
  <si>
    <t>BI platform used by 50-80% of engineers. Used for operational decisions. Structured analyses.</t>
  </si>
  <si>
    <t>BI usage statistics showing 50-80%, examples of decisions made from BI</t>
  </si>
  <si>
    <t>Verify examples of concrete decisions based on BI analyses.</t>
  </si>
  <si>
    <t>BI platform used by ≥ 80% of engineers and managers. Self-service analytics.</t>
  </si>
  <si>
    <t>BI usage statistics ≥ 80%, training records</t>
  </si>
  <si>
    <t>Verify self-service capabilities.</t>
  </si>
  <si>
    <t>BI platform used by 100% of decision-making profiles. Prescriptive analytics. Embedded in daily processes.</t>
  </si>
  <si>
    <t>100% usage statistics, prescriptive analytics documentation</t>
  </si>
  <si>
    <t>Verify that prescriptive analytics are followed.</t>
  </si>
  <si>
    <t>No root cause analysis. Incidents closed without investigating causes.</t>
  </si>
  <si>
    <t>Confirmation of absent RCA by production manager</t>
  </si>
  <si>
    <t>Verify that no incident investigation document exists.</t>
  </si>
  <si>
    <t>Toute trace de analyse informelle verbale</t>
  </si>
  <si>
    <t>Mettre en place analyse informelle verbale de base</t>
  </si>
  <si>
    <t>Informal RCAs conducted occasionally. No standard method.</t>
  </si>
  <si>
    <t>Informal RCA examples or testimonials</t>
  </si>
  <si>
    <t>Verify how RCA results are communicated and acted upon.</t>
  </si>
  <si>
    <t>Documenter et étendre analyse informelle verbale</t>
  </si>
  <si>
    <t>RCA conducted on major incidents. Method used but not documented.</t>
  </si>
  <si>
    <t>RCA examples without standard method</t>
  </si>
  <si>
    <t>Verify that RCA method is consistently applied.</t>
  </si>
  <si>
    <t>Structured RCA method defined and documented. Applied on all significant incidents.</t>
  </si>
  <si>
    <t>RCA method documentation, ≥ 3 complete RCA examples</t>
  </si>
  <si>
    <t>Verify that RCA actually identifies root causes.</t>
  </si>
  <si>
    <t>RCA applied systematically with documented actions and tracked resolution.</t>
  </si>
  <si>
    <t>RCA register, action tracking, KPI impact documentation</t>
  </si>
  <si>
    <t>Verify that RCA actions are actually implemented.</t>
  </si>
  <si>
    <t>RCA automated on data (AI-assisted root cause analysis). Predictive RCA before incident.</t>
  </si>
  <si>
    <t>AI-assisted RCA documentation, predictive RCA examples</t>
  </si>
  <si>
    <t>Verify that predictive RCA has actual performance track record.</t>
  </si>
  <si>
    <t>No ML model in production. No industrial AI application deployed.</t>
  </si>
  <si>
    <t>Confirmation of absent ML models in production</t>
  </si>
  <si>
    <t>Verify that no ML model generates operational recommendations.</t>
  </si>
  <si>
    <t>Toute trace de ML en expérimentation uniquement</t>
  </si>
  <si>
    <t>Mettre en place ML en expérimentation uniquement de base</t>
  </si>
  <si>
    <t>ML model in POC phase. Validated on historical data but not yet in production.</t>
  </si>
  <si>
    <t>POC documentation or model validation report</t>
  </si>
  <si>
    <t>Documenter et étendre ML en expérimentation uniquement</t>
  </si>
  <si>
    <t>1 ML model in production on limited scope. Gains not yet documented.</t>
  </si>
  <si>
    <t>ML model in production, no documented gains</t>
  </si>
  <si>
    <t>Verify that model is actually used by operators.</t>
  </si>
  <si>
    <t>1-2 ML models in production with documented gains on ≥ 1 KPI. Data pipeline documented.</t>
  </si>
  <si>
    <t>ML model performance reports with gains, pipeline documentation</t>
  </si>
  <si>
    <t>Verify gain documentation methodology.</t>
  </si>
  <si>
    <t>≥ 3 ML models in production on different use cases. Cumulative gains documented.</t>
  </si>
  <si>
    <t>Multiple ML model reports, cumulative gains, automated pipeline</t>
  </si>
  <si>
    <t>Verify that model gains are cumulative.</t>
  </si>
  <si>
    <t>≥ 5 ML models with MLOps. Prescriptive AI generating operational recommendations.</t>
  </si>
  <si>
    <t>≥ 5 model reports, prescriptive AI documentation</t>
  </si>
  <si>
    <t>Verify that prescriptive recommendations are followed.</t>
  </si>
  <si>
    <t>No ML data pipeline. Data preparation is entirely manual.</t>
  </si>
  <si>
    <t>Confirmation of absent ML pipeline</t>
  </si>
  <si>
    <t>Verify that no automated data processing pipeline exists for ML.</t>
  </si>
  <si>
    <t>Toute trace de extraction manuelle de données</t>
  </si>
  <si>
    <t>Mettre en place extraction manuelle de données de base</t>
  </si>
  <si>
    <t>Data pipeline partially manual. Some automated steps but no automated cleaning.</t>
  </si>
  <si>
    <t>Partial pipeline with manual steps</t>
  </si>
  <si>
    <t>Identify which pipeline steps are automated.</t>
  </si>
  <si>
    <t>Documenter et étendre extraction manuelle de données</t>
  </si>
  <si>
    <t>Data pipeline covers collection and basic cleaning. Transformation and serving still manual.</t>
  </si>
  <si>
    <t>Pipeline documentation showing 2-3 automated steps</t>
  </si>
  <si>
    <t>Verify pipeline documentation: is it actually implemented?</t>
  </si>
  <si>
    <t>Data pipeline automated from collection to model serving. Documented. Tested on ≥ 1 production model.</t>
  </si>
  <si>
    <t>Pipeline documentation, test report on production model</t>
  </si>
  <si>
    <t>Verify pipeline tests.</t>
  </si>
  <si>
    <t>Automated pipeline with data quality checks integrated. Version controlled. Automated alerts on failure.</t>
  </si>
  <si>
    <t>Pipeline with integrated quality checks, versioning, failure alerts</t>
  </si>
  <si>
    <t>Verify that pipeline failure alerts trigger effective corrective actions.</t>
  </si>
  <si>
    <t>Fully automated self-healing pipeline. Automatic quality correction. Pipeline performance monitored.</t>
  </si>
  <si>
    <t>Self-healing pipeline documentation, performance monitoring reports</t>
  </si>
  <si>
    <t>Verify self-healing capability on simulated failure scenario.</t>
  </si>
  <si>
    <t>No MLOps. ML models deployed manually without monitoring or retraining process.</t>
  </si>
  <si>
    <t>Confirmation of absent MLOps by data scientist or ML engineer</t>
  </si>
  <si>
    <t>Verify that no model monitoring tool or automatic retraining process is running.</t>
  </si>
  <si>
    <t>Toute trace de IA déployée sans mesure de gain</t>
  </si>
  <si>
    <t>Mettre en place IA déployée sans mesure de gain de base</t>
  </si>
  <si>
    <t>Model monitoring initiated (manual performance checks). No automatic retraining.</t>
  </si>
  <si>
    <t>Manual performance check logs</t>
  </si>
  <si>
    <t>Verify check frequency and who conducts them.</t>
  </si>
  <si>
    <t>Documenter et étendre IA déployée sans mesure de gain</t>
  </si>
  <si>
    <t>Model performance monitoring automated. Manual retraining when drift detected.</t>
  </si>
  <si>
    <t>Automated monitoring dashboard, retraining log</t>
  </si>
  <si>
    <t>Verify that manual retraining has been conducted at least once.</t>
  </si>
  <si>
    <t>MLOps pipeline with automatic monitoring, versioning and manual retraining trigger.</t>
  </si>
  <si>
    <t>MLOps pipeline documentation, model versioning, retraining trigger documentation</t>
  </si>
  <si>
    <t>Verify that retraining trigger is actually applied.</t>
  </si>
  <si>
    <t>Fully automated MLOps: automatic monitoring, retraining on drift, model versioning with A/B testing.</t>
  </si>
  <si>
    <t>Automated MLOps documentation, A/B testing logs, automated retraining logs</t>
  </si>
  <si>
    <t>Verify that A/B testing compares model versions before deploying new one.</t>
  </si>
  <si>
    <t>Self-optimizing MLOps. Models continuously improving. ROI measured automatically.</t>
  </si>
  <si>
    <t>Self-optimizing MLOps documentation, continuous improvement logs, automated ROI reports</t>
  </si>
  <si>
    <t>Verify that ROI measurement methodology is validated by business teams.</t>
  </si>
  <si>
    <t>No OT/IT segmentation. OT and IT systems share same network without filtering.</t>
  </si>
  <si>
    <t>Network diagram showing merged OT/IT networks</t>
  </si>
  <si>
    <t>Verify by pinging an OT system from an IT workstation that connection is direct.</t>
  </si>
  <si>
    <t>Toute trace de firewall IT uniquement</t>
  </si>
  <si>
    <t>Mettre en place firewall IT uniquement de base</t>
  </si>
  <si>
    <t>Basic segmentation (VLAN). No firewall. Rules not documented. Easy to bypass.</t>
  </si>
  <si>
    <t>Network diagram showing VLAN without firewall</t>
  </si>
  <si>
    <t>Verify that VLAN separation alone is not sufficient.</t>
  </si>
  <si>
    <t>Documenter et étendre firewall IT uniquement</t>
  </si>
  <si>
    <t>Firewall deployed but rules not documented or not approved.</t>
  </si>
  <si>
    <t>Firewall existence, absence of approved rule documentation</t>
  </si>
  <si>
    <t>Verify that firewall rules are approved.</t>
  </si>
  <si>
    <t>OT/IT firewall with documented and approved rules. Segmentation test passed.</t>
  </si>
  <si>
    <t>Approved firewall rules, segmentation test report, review calendar</t>
  </si>
  <si>
    <t>Verify segmentation test: attempt connection from IT to OT directly.</t>
  </si>
  <si>
    <t>Firewall with approved rules, tested semi-annually. IDS probes on OT segments.</t>
  </si>
  <si>
    <t>Firewall documentation, semi-annual test reports, IDS documentation</t>
  </si>
  <si>
    <t>Verify that IDS probes are actually operational.</t>
  </si>
  <si>
    <t>Dynamic firewall with AI-based threat detection. Automatic blocking of anomalous flows.</t>
  </si>
  <si>
    <t>Dynamic firewall documentation, AI threat detection logs</t>
  </si>
  <si>
    <t>Verify that automatic blocking is operational and has been tested.</t>
  </si>
  <si>
    <t>No DMZ. OT/IT exchanges made directly without buffer zone.</t>
  </si>
  <si>
    <t>Network diagram showing direct OT/IT exchange</t>
  </si>
  <si>
    <t>Verify that all OT/IT flows cross directly between zones without DMZ.</t>
  </si>
  <si>
    <t>Toute trace de cloisonnement basique sans DMZ dédiée</t>
  </si>
  <si>
    <t>Mettre en place cloisonnement basique sans DMZ dédiée de base</t>
  </si>
  <si>
    <t>DMZ concept planned or partially designed but not deployed.</t>
  </si>
  <si>
    <t>DMZ design documentation without deployment</t>
  </si>
  <si>
    <t>Verify DMZ deployment timeline.</t>
  </si>
  <si>
    <t>Documenter et étendre cloisonnement basique sans DMZ dédiée</t>
  </si>
  <si>
    <t>DMZ deployed but not all OT/IT flows pass through it. Some direct exchanges remain.</t>
  </si>
  <si>
    <t>DMZ deployment with residual direct flows identified</t>
  </si>
  <si>
    <t>Identify and document remaining direct flows.</t>
  </si>
  <si>
    <t>L3.5 DMZ fully deployed. All OT/IT flows pass through DMZ. Architecture tested and documented.</t>
  </si>
  <si>
    <t>Complete DMZ architecture, flow test reports</t>
  </si>
  <si>
    <t>Verify that ALL OT/IT flows effectively pass through DMZ.</t>
  </si>
  <si>
    <t>DMZ with segmented components. Flows monitored with alerts.</t>
  </si>
  <si>
    <t>Segmented DMZ documentation, flow monitoring dashboard</t>
  </si>
  <si>
    <t>Verify that DMZ monitoring alerts trigger on anomalous flows.</t>
  </si>
  <si>
    <t>Self-monitoring DMZ with automatic flow anomaly detection. Self-adapting DMZ rules.</t>
  </si>
  <si>
    <t>DMZ self-monitoring logs, adaptive rule documentation</t>
  </si>
  <si>
    <t>Verify that self-adaptation has not caused unintended blocking.</t>
  </si>
  <si>
    <t>No OT patch management. OT systems never updated. Known vulnerabilities not addressed.</t>
  </si>
  <si>
    <t>Confirmation of absent patch management by OT admin</t>
  </si>
  <si>
    <t>Verify that no OT patch management process exists.</t>
  </si>
  <si>
    <t>Toute trace de patches OT appliqués manuellement sans politique</t>
  </si>
  <si>
    <t>Mettre en place patches OT appliqués manuellement sans politique de base</t>
  </si>
  <si>
    <t>OT patches applied occasionally and reactively. No defined schedule.</t>
  </si>
  <si>
    <t>Informal patch application log</t>
  </si>
  <si>
    <t>Verify last patch application date and process used.</t>
  </si>
  <si>
    <t>Documenter et étendre patches OT appliqués manuellement sans politique</t>
  </si>
  <si>
    <t>OT patch management policy written. Schedule defined. Not yet applied to all systems.</t>
  </si>
  <si>
    <t>Patch management policy, schedule, partial application log</t>
  </si>
  <si>
    <t>Verify that policy covers all OT systems.</t>
  </si>
  <si>
    <t>OT patch management policy applied with regular cycles. All OT systems covered.</t>
  </si>
  <si>
    <t>Patch management policy, regular application log covering all systems</t>
  </si>
  <si>
    <t>Verify last cycle: how long ago and which systems were updated?</t>
  </si>
  <si>
    <t>Patch management with compatibility pre-tests (OT vendor validation). Emergency patch process.</t>
  </si>
  <si>
    <t>Pre-test documentation, emergency patch process, audited log</t>
  </si>
  <si>
    <t>Verify that pre-tests are actually conducted with vendor.</t>
  </si>
  <si>
    <t>Automated patch management with OT-specific tools. Patches applied with zero downtime.</t>
  </si>
  <si>
    <t>Automated patch management documentation, zero downtime deployment logs</t>
  </si>
  <si>
    <t>Verify zero downtime claim.</t>
  </si>
  <si>
    <t>No OT AD. OT accounts managed locally on each system. Shared and undocumented accounts.</t>
  </si>
  <si>
    <t>Confirmation of OT AD absence by OT admin</t>
  </si>
  <si>
    <t>Verify that OT systems authenticate locally.</t>
  </si>
  <si>
    <t>Toute trace de comptes locaux non centralisés</t>
  </si>
  <si>
    <t>Mettre en place comptes locaux non centralisés de base</t>
  </si>
  <si>
    <t>OT AD project initiated. Some OT accounts migrated but majority still local.</t>
  </si>
  <si>
    <t>Partial OT AD deployment</t>
  </si>
  <si>
    <t>Verify % of OT accounts migrated to OT AD.</t>
  </si>
  <si>
    <t>Documenter et étendre comptes locaux non centralisés</t>
  </si>
  <si>
    <t>OT AD deployed and operational. ≥ 50% of OT accounts migrated. Password policy applied.</t>
  </si>
  <si>
    <t>OT AD deployment, account list showing ≥ 50% migration</t>
  </si>
  <si>
    <t>Verify that OT AD is actually separate from IT AD.</t>
  </si>
  <si>
    <t>OT AD operational with 100% of OT accounts. Password policy applied. OT AD separate from IT AD.</t>
  </si>
  <si>
    <t>OT AD with 100% accounts, separate VM documentation</t>
  </si>
  <si>
    <t>Verify account completeness: no local accounts remaining on critical OT systems.</t>
  </si>
  <si>
    <t>OT AD with role-based access control. Least privilege applied. Quarterly access review.</t>
  </si>
  <si>
    <t>OT AD RBAC documentation, quarterly review reports</t>
  </si>
  <si>
    <t>Verify RBAC implementation: each user has only necessary rights.</t>
  </si>
  <si>
    <t>OT AD with conditional access. Behavior-based anomaly detection on OT accounts.</t>
  </si>
  <si>
    <t>Conditional access documentation, anomaly detection logs</t>
  </si>
  <si>
    <t>Verify anomaly detection is operational.</t>
  </si>
  <si>
    <t>No Jump Host. Remote accesses made directly on OT systems. No MFA.</t>
  </si>
  <si>
    <t>Confirmation of absent Jump Host by OT admin</t>
  </si>
  <si>
    <t>Verify that remote support from vendors accesses OT systems directly.</t>
  </si>
  <si>
    <t>Toute trace de VPN sans contrôle dédié OT</t>
  </si>
  <si>
    <t>Mettre en place VPN sans contrôle dédié OT de base</t>
  </si>
  <si>
    <t>Jump Host deployed but not mandatory. Some remote accesses still bypass it. No MFA.</t>
  </si>
  <si>
    <t>Jump Host deployment, evidence of direct bypasses</t>
  </si>
  <si>
    <t>Verify if remote accesses from vendors use Jump Host systematically.</t>
  </si>
  <si>
    <t>Documenter et étendre VPN sans contrôle dédié OT</t>
  </si>
  <si>
    <t>Jump Host mandatory for remote accesses. No MFA yet. Incomplete session logging.</t>
  </si>
  <si>
    <t>Jump Host mandatory configuration, incomplete session logs</t>
  </si>
  <si>
    <t>Verify that Jump Host effectively blocks direct remote accesses.</t>
  </si>
  <si>
    <t>Jump Host mandatory with MFA. All remote sessions logged. Session logs audited monthly.</t>
  </si>
  <si>
    <t>Jump Host + MFA configuration, complete session logs, monthly audit</t>
  </si>
  <si>
    <t>Verify MFA effectiveness: simulate remote access without MFA.</t>
  </si>
  <si>
    <t>Jump Host with MFA, session recording and privilege access management.</t>
  </si>
  <si>
    <t>Jump Host + session recording + PAM documentation</t>
  </si>
  <si>
    <t>Verify session recordings are retained for ≥ 12 months.</t>
  </si>
  <si>
    <t>Jump Host with AI behavioral analysis. Automatic blocking of anomalous remote sessions.</t>
  </si>
  <si>
    <t>AI behavioral analysis documentation, automatic blocking logs</t>
  </si>
  <si>
    <t>Verify that automatic blocking has been triggered and tested.</t>
  </si>
  <si>
    <t>No access rights review. OT accounts are never revoked.</t>
  </si>
  <si>
    <t>Confirmation of absent access review by OT admin or HR</t>
  </si>
  <si>
    <t>Ask how former employee accounts are revoked from OT systems.</t>
  </si>
  <si>
    <t>Toute trace de revue informelle ad hoc</t>
  </si>
  <si>
    <t>Mettre en place revue informelle ad hoc de base</t>
  </si>
  <si>
    <t>Access review conducted rarely. Revocations delayed.</t>
  </si>
  <si>
    <t>Informal access review</t>
  </si>
  <si>
    <t>Verify time between employee departure and OT account revocation.</t>
  </si>
  <si>
    <t>Documenter et étendre revue informelle ad hoc</t>
  </si>
  <si>
    <t>Semi-annual access review. Revocations within 1 week of departure. Review not documented.</t>
  </si>
  <si>
    <t>Semi-annual review log</t>
  </si>
  <si>
    <t>Verify review process documentation and revocation delay.</t>
  </si>
  <si>
    <t>Quarterly OT access review. Revocation within 24 hours of departure. Review documented.</t>
  </si>
  <si>
    <t>Quarterly review reports, revocation log with timestamps</t>
  </si>
  <si>
    <t>Verify that 24-hour revocation is consistently applied.</t>
  </si>
  <si>
    <t>Quarterly review with automatic alerts for accounts without recent activity. Revocation within 4 hours.</t>
  </si>
  <si>
    <t>Inactive account alerts, revocation logs with timestamps ≤ 4 hours</t>
  </si>
  <si>
    <t>Verify that inactive account alerts lead to effective revocation.</t>
  </si>
  <si>
    <t>Continuous automatic access review. Instant revocation on departure HR event. Zero unauthorized access.</t>
  </si>
  <si>
    <t>Continuous review documentation, HR integration logs</t>
  </si>
  <si>
    <t>Verify revocation is triggered by HR event.</t>
  </si>
  <si>
    <t>No digital transformation policy. Digital projects conducted without framework.</t>
  </si>
  <si>
    <t>Confirmation of absent policy by site director</t>
  </si>
  <si>
    <t>Verify that no digital strategy document exists.</t>
  </si>
  <si>
    <t>Toute trace de intention verbale de la direction</t>
  </si>
  <si>
    <t>Mettre en place intention verbale de la direction de base</t>
  </si>
  <si>
    <t>Digital policy in draft phase. Not yet approved. Not disseminated.</t>
  </si>
  <si>
    <t>Draft digital policy</t>
  </si>
  <si>
    <t>Verify approval timeline.</t>
  </si>
  <si>
    <t>Documenter et étendre intention verbale de la direction</t>
  </si>
  <si>
    <t>Digital policy written and approved but not disseminated to all management teams.</t>
  </si>
  <si>
    <t>Approved digital policy, limited dissemination</t>
  </si>
  <si>
    <t>Verify dissemination scope.</t>
  </si>
  <si>
    <t>Digital policy approved and disseminated. Digital manager designated with mission brief.</t>
  </si>
  <si>
    <t>Approved and disseminated policy, digital manager mission brief</t>
  </si>
  <si>
    <t>Verify that digital manager has sufficient authority and budget.</t>
  </si>
  <si>
    <t>Digital policy with measurable annual objectives. Policy reviewed and updated annually.</t>
  </si>
  <si>
    <t>Policy with measurable objectives, annual review documentation</t>
  </si>
  <si>
    <t>Verify that objectives are SMART.</t>
  </si>
  <si>
    <t>Digital policy self-updating based on performance indicators. Management integrated in digital governance.</t>
  </si>
  <si>
    <t>Self-updating policy documentation</t>
  </si>
  <si>
    <t>Verify management active participation.</t>
  </si>
  <si>
    <t>No digital governance committee. Digital projects decided ad hoc.</t>
  </si>
  <si>
    <t>Confirmation of absent committee by site director</t>
  </si>
  <si>
    <t>Verify that no recurring meeting structure exists for digital governance.</t>
  </si>
  <si>
    <t>Toute trace de changements ad hoc non tracés</t>
  </si>
  <si>
    <t>Mettre en place changements ad hoc non tracés de base</t>
  </si>
  <si>
    <t>Occasional digital steering meetings. No defined structure. No minutes.</t>
  </si>
  <si>
    <t>Occasional meeting testimonials</t>
  </si>
  <si>
    <t>Verify meeting frequency and how decisions are documented.</t>
  </si>
  <si>
    <t>Documenter et étendre changements ad hoc non tracés</t>
  </si>
  <si>
    <t>Digital committee constituted. Irregular meetings. Basic minutes.</t>
  </si>
  <si>
    <t>Committee constitution, quarterly meeting minutes</t>
  </si>
  <si>
    <t>Verify that meetings generate effective decisions.</t>
  </si>
  <si>
    <t>Active digital committee with monthly meetings. Structured agenda. Decisions documented and tracked.</t>
  </si>
  <si>
    <t>Monthly meeting minutes with decisions and tracked actions</t>
  </si>
  <si>
    <t>Verify action tracking: are decisions from previous meeting followed up?</t>
  </si>
  <si>
    <t>Digital committee with governance KPIs reviewed. Digital roadmap updated at each meeting.</t>
  </si>
  <si>
    <t>KPI review minutes, updated roadmap</t>
  </si>
  <si>
    <t>Verify roadmap is actually updated based on committee decisions.</t>
  </si>
  <si>
    <t>Digital committee integrated with site strategic committee.</t>
  </si>
  <si>
    <t>Strategic committee integration documentation</t>
  </si>
  <si>
    <t>Verify concrete examples of digital governance influencing strategic decisions.</t>
  </si>
  <si>
    <t>No digital governance KPIs. Digital project performance is not measured.</t>
  </si>
  <si>
    <t>Confirmation of absent governance KPIs</t>
  </si>
  <si>
    <t>Verify that no measurement of digital project delivery rate or adoption exists.</t>
  </si>
  <si>
    <t>Toute trace de réunion ad hoc sans structure</t>
  </si>
  <si>
    <t>Mettre en place réunion ad hoc sans structure de base</t>
  </si>
  <si>
    <t>1-2 KPIs defined. Not measured regularly.</t>
  </si>
  <si>
    <t>1-2 KPI definitions without regular measurement</t>
  </si>
  <si>
    <t>Verify that defined KPIs are actually measured.</t>
  </si>
  <si>
    <t>Documenter et étendre réunion ad hoc sans structure</t>
  </si>
  <si>
    <t>3-5 governance KPIs defined and measured monthly. Not integrated in committee decisions.</t>
  </si>
  <si>
    <t>Monthly KPI report</t>
  </si>
  <si>
    <t>Verify that KPIs are presented in committee.</t>
  </si>
  <si>
    <t>≥ 5 governance KPIs measured and integrated in monthly committee reviews.</t>
  </si>
  <si>
    <t>Monthly KPI dashboard integrated in committee, action log</t>
  </si>
  <si>
    <t>Verify examples of KPI drift triggering concrete corrective actions.</t>
  </si>
  <si>
    <t>KPIs with trend analysis and forecasting. Dashboard automated. KPI linked to digital manager objectives.</t>
  </si>
  <si>
    <t>Automated KPI dashboard, trend analysis, digital manager objectives</t>
  </si>
  <si>
    <t>Verify that digital manager objectives reference governance KPIs.</t>
  </si>
  <si>
    <t>Governance KPIs self-adapting to strategic priorities.</t>
  </si>
  <si>
    <t>Self-adapting KPI documentation</t>
  </si>
  <si>
    <t>Verify that self-adaptation has actually changed KPI set.</t>
  </si>
  <si>
    <t>No digital MOC. All modifications made informally. No change traceability.</t>
  </si>
  <si>
    <t>Confirmation of absent digital MOC</t>
  </si>
  <si>
    <t>Verify that no change log or modification form exists for digital systems.</t>
  </si>
  <si>
    <t>Toute trace de audit ad hoc ponctuel</t>
  </si>
  <si>
    <t>Mettre en place audit ad hoc ponctuel de base</t>
  </si>
  <si>
    <t>Some digital modifications documented informally. No standard procedure.</t>
  </si>
  <si>
    <t>Informal modification documentation</t>
  </si>
  <si>
    <t>Evaluate documentation completeness.</t>
  </si>
  <si>
    <t>Documenter et étendre audit ad hoc ponctuel</t>
  </si>
  <si>
    <t>Digital MOC procedure written but applied only to major modifications.</t>
  </si>
  <si>
    <t>MOC procedure, partial application log</t>
  </si>
  <si>
    <t>Verify which modifications are covered by MOC.</t>
  </si>
  <si>
    <t>Digital MOC procedure applied to all modifications with systematic documentation.</t>
  </si>
  <si>
    <t>MOC procedure, complete modification register</t>
  </si>
  <si>
    <t>Verify that recent minor modifications are also in the MOC register.</t>
  </si>
  <si>
    <t>Digital MOC with pre-modification impact analysis. Post-modification validation systematic.</t>
  </si>
  <si>
    <t>MOC with impact analysis, post-modification validation, annual audit</t>
  </si>
  <si>
    <t>Verify that impact analyses are conducted before modifications.</t>
  </si>
  <si>
    <t>Fully automated digital MOC with automatic impact analysis and zero unauthorized modification.</t>
  </si>
  <si>
    <t>Automated MOC documentation, unauthorized modification detection logs</t>
  </si>
  <si>
    <t>Verify that unauthorized modification detection is operational.</t>
  </si>
  <si>
    <t>No digital audit plan. No audit conducted. Non-conformities not identified.</t>
  </si>
  <si>
    <t>Confirmation of absent audit plan</t>
  </si>
  <si>
    <t>Verify that no digital audit has been conducted in last 2 years.</t>
  </si>
  <si>
    <t>Toute trace de suivi informel</t>
  </si>
  <si>
    <t>Mettre en place suivi informel de base</t>
  </si>
  <si>
    <t>Informal audit conducted once. No plan. Findings not formally tracked.</t>
  </si>
  <si>
    <t>Informal audit documentation</t>
  </si>
  <si>
    <t>Verify how previous audit findings were addressed.</t>
  </si>
  <si>
    <t>Documenter et étendre suivi informel</t>
  </si>
  <si>
    <t>Annual digital audit plan written. First audit conducted. Non-conformities identified.</t>
  </si>
  <si>
    <t>Audit plan, first audit report, NC list</t>
  </si>
  <si>
    <t>Verify that audit plan covers all relevant dimensions.</t>
  </si>
  <si>
    <t>Annual audit plan executed. NC remediation tracked to closure. NC resolution rate documented.</t>
  </si>
  <si>
    <t>Annual audit reports, NC tracking register, resolution rate</t>
  </si>
  <si>
    <t>Verify NC resolution rate: target ≥ 90% within 6 months.</t>
  </si>
  <si>
    <t>Audit plan with internal and external audits. NC rate trending down.</t>
  </si>
  <si>
    <t>Internal + external audit reports, NC trend</t>
  </si>
  <si>
    <t>Verify that external auditor is independent and qualified.</t>
  </si>
  <si>
    <t>Continuous digital audit with automated compliance monitoring.</t>
  </si>
  <si>
    <t>Continuous audit documentation, automated compliance monitoring logs</t>
  </si>
  <si>
    <t>Verify automated monitoring actually detects real non-conformities.</t>
  </si>
  <si>
    <t>No regulatory compliance matrix. Digital regulatory requirements not inventoried.</t>
  </si>
  <si>
    <t>Confirmation of absent compliance matrix</t>
  </si>
  <si>
    <t>Verify that applicable digital regulations are not inventoried.</t>
  </si>
  <si>
    <t>Toute trace de liste informelle d'exigences</t>
  </si>
  <si>
    <t>Mettre en place liste informelle d'exigences de base</t>
  </si>
  <si>
    <t>Regulatory requirements partially inventoried. No compliance assessment.</t>
  </si>
  <si>
    <t>Partial regulatory inventory</t>
  </si>
  <si>
    <t>Verify completeness of regulatory inventory.</t>
  </si>
  <si>
    <t>Documenter et étendre liste informelle d'exigences</t>
  </si>
  <si>
    <t>Compliance matrix created. Requirements inventoried. Compliance status not assessed.</t>
  </si>
  <si>
    <t>Compliance matrix with requirements, no assessment</t>
  </si>
  <si>
    <t>Verify that matrix includes all applicable regulations.</t>
  </si>
  <si>
    <t>Compliance matrix with assessment status. Non-compliant items identified with remediation plan.</t>
  </si>
  <si>
    <t>Compliance matrix with assessment, remediation plan</t>
  </si>
  <si>
    <t>Verify that remediation plan has deadlines and responsible owners.</t>
  </si>
  <si>
    <t>Compliance matrix updated semi-annually. All critical items compliant.</t>
  </si>
  <si>
    <t>Semi-annual compliance matrix, audit integration</t>
  </si>
  <si>
    <t>Verify that compliance matrix is updated after each regulatory change.</t>
  </si>
  <si>
    <t>Automated compliance monitoring. Regulatory changes automatically integrated.</t>
  </si>
  <si>
    <t>Automated compliance monitoring, regulatory change integration logs</t>
  </si>
  <si>
    <t>Verify regulatory monitoring covers all applicable jurisdictions.</t>
  </si>
  <si>
    <t>No digital skills mapping. Digital skills of personnel completely unknown.</t>
  </si>
  <si>
    <t>Confirmation of absent mapping by HR manager</t>
  </si>
  <si>
    <t>Verify that no skills matrix or digital skills assessment exists.</t>
  </si>
  <si>
    <t>Any trace of informal verbal assessment</t>
  </si>
  <si>
    <t>Establish basic informal verbal assessment</t>
  </si>
  <si>
    <t>Skills mapping initiated but covers &lt; 30% of target population.</t>
  </si>
  <si>
    <t>Partial skills matrix showing &lt; 30%</t>
  </si>
  <si>
    <t>Verify mapping methodology and coverage plan.</t>
  </si>
  <si>
    <t>Document and extend informal verbal assessment</t>
  </si>
  <si>
    <t>Skills mapping covers 30-70% of target population. Framework defined but not finalized.</t>
  </si>
  <si>
    <t>Skills matrix showing 30-70%, draft framework</t>
  </si>
  <si>
    <t>Verify that framework is validated by operational managers.</t>
  </si>
  <si>
    <t>Skills mapping covers ≥ 70% of target population. Framework approved. Annual update planned.</t>
  </si>
  <si>
    <t>Skills matrix showing ≥ 70%, approved framework, update calendar</t>
  </si>
  <si>
    <t>Verify that mapping update is actually planned.</t>
  </si>
  <si>
    <t>Skills mapping covers ≥ 90% of target population. Updated annually. Gaps quantified.</t>
  </si>
  <si>
    <t>Skills matrix showing ≥ 90%, annual update evidence, quantified gaps</t>
  </si>
  <si>
    <t>Verify that gaps are quantified.</t>
  </si>
  <si>
    <t>Skills mapping covers 100% of relevant personnel. Self-updated after each training. Integrated in HRIS.</t>
  </si>
  <si>
    <t>100% skills matrix, HRIS integration documentation</t>
  </si>
  <si>
    <t>Verify HRIS integration: does completing training automatically update the skills matrix?</t>
  </si>
  <si>
    <t>No skills gap analysis. Training investments not guided by identified needs.</t>
  </si>
  <si>
    <t>Confirmation of absent gap analysis</t>
  </si>
  <si>
    <t>Verify that no gap analysis document exists.</t>
  </si>
  <si>
    <t>Toute trace de gaps verbaux non documentés</t>
  </si>
  <si>
    <t>Mettre en place gaps verbaux non documentés de base</t>
  </si>
  <si>
    <t>Gap analysis conducted informally by managers. Not documented. Not prioritized.</t>
  </si>
  <si>
    <t>Informal gap identification testimonials</t>
  </si>
  <si>
    <t>Verify how gap information is used in training decisions.</t>
  </si>
  <si>
    <t>Documenter et étendre gaps verbaux non documentés</t>
  </si>
  <si>
    <t>Gap analysis documented but not prioritized by operational criticality.</t>
  </si>
  <si>
    <t>Gap analysis document without prioritization</t>
  </si>
  <si>
    <t>Verify that gap analysis uses the skills framework as reference.</t>
  </si>
  <si>
    <t>Gap analysis documented, prioritized by criticality and shared with HR and managers.</t>
  </si>
  <si>
    <t>Gap analysis with prioritization, sharing evidence with HR</t>
  </si>
  <si>
    <t>Verify that prioritization is based on operational impact.</t>
  </si>
  <si>
    <t>Gap analysis used to build training plan with ROI estimation. Gap trend tracked.</t>
  </si>
  <si>
    <t>Training plan built from gap analysis, ROI estimation, gap trend</t>
  </si>
  <si>
    <t>Verify that gap trend shows improvement over time.</t>
  </si>
  <si>
    <t>Gap analysis self-updating from skills matrix. AI-assisted prioritization.</t>
  </si>
  <si>
    <t>Self-updating gap analysis, AI prioritization documentation</t>
  </si>
  <si>
    <t>Verify AI prioritization has concrete examples.</t>
  </si>
  <si>
    <t>No digital skills in job descriptions.</t>
  </si>
  <si>
    <t>Confirmation that job descriptions have no digital component</t>
  </si>
  <si>
    <t>Verify current job descriptions for operators, technicians and engineers.</t>
  </si>
  <si>
    <t>Toute trace de mention informelle</t>
  </si>
  <si>
    <t>Mettre en place mention informelle de base</t>
  </si>
  <si>
    <t>Digital skills mentioned informally in some job descriptions. Not systematized.</t>
  </si>
  <si>
    <t>Selected job descriptions with informal digital mention</t>
  </si>
  <si>
    <t>Evaluate coverage and formality level.</t>
  </si>
  <si>
    <t>Documenter et étendre mention informelle</t>
  </si>
  <si>
    <t>Digital skills added to job descriptions for new hires. Existing job descriptions not updated.</t>
  </si>
  <si>
    <t>New hire job descriptions with digital skills, old descriptions unchanged</t>
  </si>
  <si>
    <t>Verify scope of update: only new roles or all roles?</t>
  </si>
  <si>
    <t>Digital skills integrated in ≥ 70% of job descriptions. Based on skills framework. HR involved.</t>
  </si>
  <si>
    <t>≥ 70% updated job descriptions, HR involvement evidence</t>
  </si>
  <si>
    <t>Verify alignment between job description skills and skills framework.</t>
  </si>
  <si>
    <t>Digital skills in 100% of relevant job descriptions. Used in annual performance reviews.</t>
  </si>
  <si>
    <t>100% updated job descriptions, performance review integration</t>
  </si>
  <si>
    <t>Verify that digital skills actually appear in performance review criteria.</t>
  </si>
  <si>
    <t>Digital skills automatically updated in job descriptions after each skills framework revision.</t>
  </si>
  <si>
    <t>Auto-update documentation, job description version history</t>
  </si>
  <si>
    <t>Verify auto-update effectiveness.</t>
  </si>
  <si>
    <t>No digital training plan. Trainings completely ad hoc and unbudgeted.</t>
  </si>
  <si>
    <t>Confirmation of absent training plan by HR manager</t>
  </si>
  <si>
    <t>Verify that no annual digital training calendar exists.</t>
  </si>
  <si>
    <t>Toute trace de formation ad hoc non planifiée</t>
  </si>
  <si>
    <t>Mettre en place formation ad hoc non planifiée de base</t>
  </si>
  <si>
    <t>Training plan drafted but not approved. No allocated budget. Execution &lt; 20%.</t>
  </si>
  <si>
    <t>Draft training plan, absent budget</t>
  </si>
  <si>
    <t>Verify what is blocking plan approval.</t>
  </si>
  <si>
    <t>Documenter et étendre formation ad hoc non planifiée</t>
  </si>
  <si>
    <t>Training plan approved with budget. Execution 20-50%. Some sessions cancelled.</t>
  </si>
  <si>
    <t>Approved training plan with budget, execution report showing 20-50%</t>
  </si>
  <si>
    <t>Verify reasons for cancellations.</t>
  </si>
  <si>
    <t>Training plan executed at 50-80%. Sessions conducted as planned. Post-training evaluations initiated.</t>
  </si>
  <si>
    <t>Execution report 50-80%, post-training evaluation samples</t>
  </si>
  <si>
    <t>Verify that cancellations have documented justification.</t>
  </si>
  <si>
    <t>Training plan executed at ≥ 80%. Post-training evaluations systematic. Impact on skills measured.</t>
  </si>
  <si>
    <t>Execution report ≥ 80%, systematic evaluations, skills impact measurement</t>
  </si>
  <si>
    <t>Verify impact measurement methodology.</t>
  </si>
  <si>
    <t>Training plan executed at ≥ 95%. Continuous training integrated in work routines.</t>
  </si>
  <si>
    <t>≥ 95% execution, continuous training documentation</t>
  </si>
  <si>
    <t>Verify that continuous training is integrated in work routines.</t>
  </si>
  <si>
    <t>No post-training evaluation. Training effectiveness completely unknown.</t>
  </si>
  <si>
    <t>Confirmation of absent post-training evaluation</t>
  </si>
  <si>
    <t>Verify that no skill test or knowledge check occurs after training.</t>
  </si>
  <si>
    <t>Toute trace de taux exécution &lt; 30 %</t>
  </si>
  <si>
    <t>Mettre en place taux exécution &lt; 30 % de base</t>
  </si>
  <si>
    <t>Satisfaction questionnaire after training. No skills test.</t>
  </si>
  <si>
    <t>Satisfaction questionnaire examples</t>
  </si>
  <si>
    <t>Verify that satisfaction score is not confused with skill acquisition.</t>
  </si>
  <si>
    <t>Documenter et étendre taux exécution &lt; 30 %</t>
  </si>
  <si>
    <t>Post-training skills test for some sessions. Results not systematically documented.</t>
  </si>
  <si>
    <t>Post-training test examples for some sessions</t>
  </si>
  <si>
    <t>Verify consistency of evaluation methodology.</t>
  </si>
  <si>
    <t>Post-training skills evaluation systematic on all digital training. Before/after comparison.</t>
  </si>
  <si>
    <t>Systematic evaluation reports with before/after comparison</t>
  </si>
  <si>
    <t>Verify that 'before' assessment is actually conducted.</t>
  </si>
  <si>
    <t>Post-training evaluation with 3-month follow-up to verify retention.</t>
  </si>
  <si>
    <t>3-month follow-up evaluation reports, skills matrix update evidence</t>
  </si>
  <si>
    <t>Verify that 3-month follow-up is actually conducted.</t>
  </si>
  <si>
    <t>Continuous skill level assessment integrated in work tools. Real-time skills matrix update.</t>
  </si>
  <si>
    <t>Continuous assessment documentation, real-time skills matrix update logs</t>
  </si>
  <si>
    <t>Verify continuous assessment does not create work overload.</t>
  </si>
  <si>
    <t>No internal digital trainers. All training depends on external providers.</t>
  </si>
  <si>
    <t>Confirmation of absent internal trainers</t>
  </si>
  <si>
    <t>Verify that no employee has been trained as internal digital trainer.</t>
  </si>
  <si>
    <t>Toute trace de satisfaction collectée informellement</t>
  </si>
  <si>
    <t>Mettre en place satisfaction collectée informellement de base</t>
  </si>
  <si>
    <t>Potential internal trainers identified but not yet trained.</t>
  </si>
  <si>
    <t>Internal trainer candidate list</t>
  </si>
  <si>
    <t>Verify timeline for internal trainer training.</t>
  </si>
  <si>
    <t>Documenter et étendre satisfaction collectée informellement</t>
  </si>
  <si>
    <t>1-2 internal trainers trained but not yet active. No session conducted.</t>
  </si>
  <si>
    <t>Internal trainer training evidence, no session log</t>
  </si>
  <si>
    <t>Verify why internal trainers are not yet conducting sessions.</t>
  </si>
  <si>
    <t>≥ 2 active internal trainers having conducted ≥ 3 training sessions each.</t>
  </si>
  <si>
    <t>Internal trainer session logs showing ≥ 3 sessions each</t>
  </si>
  <si>
    <t>Verify that sessions were conducted with real participants.</t>
  </si>
  <si>
    <t>≥ 5 active internal trainers covering main digital domains. External dependency reduced by ≥ 50%.</t>
  </si>
  <si>
    <t>Internal trainer list by domain, external training cost trend</t>
  </si>
  <si>
    <t>Verify external dependency reduction is measured.</t>
  </si>
  <si>
    <t>Internal trainers self-developing new content. Training internally self-sufficient.</t>
  </si>
  <si>
    <t>Internal trainer content development logs, self-sufficiency metrics</t>
  </si>
  <si>
    <t>Verify that internal certification has real value.</t>
  </si>
  <si>
    <t>Digital tool adoption rate not measured. Tools deployed but usage unknown.</t>
  </si>
  <si>
    <t>Confirmation of absent adoption measurement</t>
  </si>
  <si>
    <t>Verify that no usage log or adoption KPI exists.</t>
  </si>
  <si>
    <t>Toute trace de taux adoption estimé &lt; 20 %</t>
  </si>
  <si>
    <t>Mettre en place taux adoption estimé &lt; 20 % de base</t>
  </si>
  <si>
    <t>Adoption rate measured on 1-2 tools. Rate &lt; 40%. No corrective action.</t>
  </si>
  <si>
    <t>Adoption measurement showing &lt; 40% on some tools</t>
  </si>
  <si>
    <t>Verify measurement methodology: active users or account holders?</t>
  </si>
  <si>
    <t>Documenter et étendre taux adoption estimé &lt; 20 %</t>
  </si>
  <si>
    <t>Adoption rate measured on main tools. Rate 40-60%. Some corrective actions identified.</t>
  </si>
  <si>
    <t>Adoption reports showing 40-60%, identified corrective actions</t>
  </si>
  <si>
    <t>Verify that corrective actions are implemented.</t>
  </si>
  <si>
    <t>Adoption rate measured on all main tools. Rate 60-80%. Blockers identified and addressed.</t>
  </si>
  <si>
    <t>Adoption reports showing 60-80%, blocker resolution documentation</t>
  </si>
  <si>
    <t>Verify that blockers are actually addressed.</t>
  </si>
  <si>
    <t>Adoption rate ≥ 80% on all main digital tools. Automatic alerts on adoption drop.</t>
  </si>
  <si>
    <t>Adoption reports showing ≥ 80%, automatic alerts configuration</t>
  </si>
  <si>
    <t>Verify that adoption alerts trigger concrete actions.</t>
  </si>
  <si>
    <t>Adoption rate ≥ 95% on all tools. Self-sustaining adoption culture.</t>
  </si>
  <si>
    <t>Adoption reports showing ≥ 95%, new tool rapid adoption examples</t>
  </si>
  <si>
    <t>Verify that rapid adoption is documented with timeline evidence.</t>
  </si>
  <si>
    <t>No digital champion. No actor responsible for digital tool adoption support.</t>
  </si>
  <si>
    <t>Confirmation of absent champion by site director</t>
  </si>
  <si>
    <t>Verify that no employee has a digital champion role.</t>
  </si>
  <si>
    <t>Toute trace de référent nommé sans mission définie</t>
  </si>
  <si>
    <t>Mettre en place référent nommé sans mission définie de base</t>
  </si>
  <si>
    <t>Digital champion informally designated. No mission brief. Actions not documented.</t>
  </si>
  <si>
    <t>Informal champion designation</t>
  </si>
  <si>
    <t>Verify what actions the informal champion has taken.</t>
  </si>
  <si>
    <t>Documenter et étendre référent nommé sans mission définie</t>
  </si>
  <si>
    <t>Digital champion officially appointed with mission brief. First actions conducted.</t>
  </si>
  <si>
    <t>Mission brief, first action documentation</t>
  </si>
  <si>
    <t>Verify that actions are concrete and measurable.</t>
  </si>
  <si>
    <t>Digital champion active with documented quarterly actions. Adoption improvements attributable to champion.</t>
  </si>
  <si>
    <t>Quarterly action reports, adoption improvement attribution</t>
  </si>
  <si>
    <t>Verify attribution: how are adoption improvements linked to champion actions?</t>
  </si>
  <si>
    <t>Digital champion with champion network (one per unit). Measurable adoption impact.</t>
  </si>
  <si>
    <t>Champion network documentation, measurable adoption impact</t>
  </si>
  <si>
    <t>Verify that champion network is actually active.</t>
  </si>
  <si>
    <t>Champion network self-sustaining and growing. Champions training new champions.</t>
  </si>
  <si>
    <t>Champion network growth documentation, peer training logs</t>
  </si>
  <si>
    <t>Verify that champion network grows organically.</t>
  </si>
  <si>
    <t>No user feedback process. Users have no way to formally report digital tool issues.</t>
  </si>
  <si>
    <t>Confirmation of absent feedback process</t>
  </si>
  <si>
    <t>Verify that no feedback channel exists for digital tools.</t>
  </si>
  <si>
    <t>Toute trace de retours verbaux informels</t>
  </si>
  <si>
    <t>Mettre en place retours verbaux informels de base</t>
  </si>
  <si>
    <t>Informal feedback collected occasionally. Not documented. Rarely acted upon.</t>
  </si>
  <si>
    <t>Informal feedback collection testimonials</t>
  </si>
  <si>
    <t>Verify how many feedbacks have been received and acted upon.</t>
  </si>
  <si>
    <t>Documenter et étendre retours verbaux informels</t>
  </si>
  <si>
    <t>Feedback process defined. Some feedbacks collected and documented. Actions inconsistent.</t>
  </si>
  <si>
    <t>Feedback process documentation, sample feedbacks</t>
  </si>
  <si>
    <t>Verify that feedback processing leads to consistent corrective actions.</t>
  </si>
  <si>
    <t>Structured feedback process with documented tracking. ≥ 10 feedbacks processed with actions in last 6 months.</t>
  </si>
  <si>
    <t>Feedback register showing ≥ 10 processed items, action tracking</t>
  </si>
  <si>
    <t>Verify that actions are actually implemented.</t>
  </si>
  <si>
    <t>Feedback process integrated in digital governance. Feedback trends inform tool improvement roadmap.</t>
  </si>
  <si>
    <t>Feedback trend analysis, tool improvement roadmap informed by feedback</t>
  </si>
  <si>
    <t>Verify that feedback trends are reviewed in digital committee meetings.</t>
  </si>
  <si>
    <t>Continuous feedback loop with immediate action. Feedback automatically prioritized by AI.</t>
  </si>
  <si>
    <t>AI feedback prioritization documentation, immediate action logs</t>
  </si>
  <si>
    <t>Verify that AI prioritization is accepted by users.</t>
  </si>
  <si>
    <t>No structured POC approach. Digital innovations tried randomly without objectives.</t>
  </si>
  <si>
    <t>Confirmation of absent POC approach</t>
  </si>
  <si>
    <t>Verify that no POC documentation or innovation methodology exists.</t>
  </si>
  <si>
    <t>Toute trace de expérimentation spontanée non documentée</t>
  </si>
  <si>
    <t>Mettre en place expérimentation spontanée non documentée de base</t>
  </si>
  <si>
    <t>POC conducted informally. Objectives not defined upfront. Results not documented.</t>
  </si>
  <si>
    <t>Informal POC testimonials</t>
  </si>
  <si>
    <t>Verify whether past POCs led to production deployment or were abandoned.</t>
  </si>
  <si>
    <t>Documenter et étendre expérimentation spontanée non documentée</t>
  </si>
  <si>
    <t>POC approach initiated. Objectives defined. Method partial. Results documented post-hoc.</t>
  </si>
  <si>
    <t>POC documentation with post-hoc documentation</t>
  </si>
  <si>
    <t>Verify that objectives were defined before POC start.</t>
  </si>
  <si>
    <t>Structured POC approach: objectives defined, method documented, results evaluated, go/no-go decision documented.</t>
  </si>
  <si>
    <t>POC documentation with predefined objectives, method, results, documented decision</t>
  </si>
  <si>
    <t>Verify that go/no-go decision is based on predefined success criteria.</t>
  </si>
  <si>
    <t>POC pipeline with prioritization process. ≥ 2 POCs per year. Success rate measured.</t>
  </si>
  <si>
    <t>POC pipeline documentation, annual POC calendar, success rate measurement</t>
  </si>
  <si>
    <t>Verify success rate definition.</t>
  </si>
  <si>
    <t>Self-sustaining POC culture. Ideas generated bottom-up. POC pipeline self-selecting most valuable ideas.</t>
  </si>
  <si>
    <t>Bottom-up idea generation documentation, self-selection process logs</t>
  </si>
  <si>
    <t>Verify that bottom-up ideas are represented in POC pipeline.</t>
  </si>
  <si>
    <t>No success replication. Each digital initiative remains in its original unit.</t>
  </si>
  <si>
    <t>Confirmation of absent replication by digital manager</t>
  </si>
  <si>
    <t>Verify that no successful digital initiative has been replicated.</t>
  </si>
  <si>
    <t>Toute trace de succès reconnus verbalement</t>
  </si>
  <si>
    <t>Mettre en place succès reconnus verbalement de base</t>
  </si>
  <si>
    <t>Replication discussed but not conducted. Success documented but not shared.</t>
  </si>
  <si>
    <t>Undiffused success documentation</t>
  </si>
  <si>
    <t>Verify what is blocking replication.</t>
  </si>
  <si>
    <t>Documenter et étendre succès reconnus verbalement</t>
  </si>
  <si>
    <t>At least one success partially replicated in another unit. Not systematized.</t>
  </si>
  <si>
    <t>Partial replication documentation</t>
  </si>
  <si>
    <t>Verify degree of replication.</t>
  </si>
  <si>
    <t>At least one success fully replicated with documented impact measurement in target unit.</t>
  </si>
  <si>
    <t>Complete replication documentation, impact measurement in target unit</t>
  </si>
  <si>
    <t>Verify that impact measurement in target unit is conducted independently.</t>
  </si>
  <si>
    <t>≥ 2 successes replicated. Replication process defined and documented.</t>
  </si>
  <si>
    <t>≥ 2 replication documentations, defined replication process</t>
  </si>
  <si>
    <t>Verify replication time reduction.</t>
  </si>
  <si>
    <t>Self-sustaining replication culture. Successes automatically identified for replication.</t>
  </si>
  <si>
    <t>Self-sustaining replication documentation, multi-site digital standards</t>
  </si>
  <si>
    <t>Verify that multi-site digital standards are maintained.</t>
  </si>
  <si>
    <t>No innovation partnership. Site completely isolated from external digital ecosystem.</t>
  </si>
  <si>
    <t>Confirmation of absent partnerships by site director</t>
  </si>
  <si>
    <t>Verify that no agreement or active contact exists with external innovation actors.</t>
  </si>
  <si>
    <t>Toute trace de veille informelle individuelle</t>
  </si>
  <si>
    <t>Mettre en place veille informelle individuelle de base</t>
  </si>
  <si>
    <t>Informal contacts with external actors. No formalized partnership.</t>
  </si>
  <si>
    <t>Informal contact testimonials</t>
  </si>
  <si>
    <t>Verify concrete value generated by informal contacts.</t>
  </si>
  <si>
    <t>Documenter et étendre veille informelle individuelle</t>
  </si>
  <si>
    <t>At least one partnership initiated (MOU, pilot project agreement). Not yet generating concrete value.</t>
  </si>
  <si>
    <t>Partnership initiation documentation</t>
  </si>
  <si>
    <t>Verify concrete deliverables expected from initiated partnership.</t>
  </si>
  <si>
    <t>At least one active formalized partnership generating concrete value (co-developed POC, shared technology watch).</t>
  </si>
  <si>
    <t>Partnership contract or agreement, concrete value evidence</t>
  </si>
  <si>
    <t>Verify concrete value: a co-developed POC is more valuable than a simple information exchange.</t>
  </si>
  <si>
    <t>≥ 2 active partnerships covering different domains. Annual partnership review.</t>
  </si>
  <si>
    <t>≥ 2 partnership documentations, annual review reports</t>
  </si>
  <si>
    <t>Verify that annual review leads to continuation or termination decisions.</t>
  </si>
  <si>
    <t>Partnership ecosystem actively managed. Site contributing to industrial digital ecosystem.</t>
  </si>
  <si>
    <t>Ecosystem management documentation, publications or conference presentations</t>
  </si>
  <si>
    <t>Verify that site contributions are recognized externally.</t>
  </si>
  <si>
    <t>EVIDENCE_CATALOG — Catalog of acceptable evidence types</t>
  </si>
  <si>
    <t>Evidence_ID</t>
  </si>
  <si>
    <t>Evidence_Category</t>
  </si>
  <si>
    <t>Evidence_Name</t>
  </si>
  <si>
    <t>Evidence_Description</t>
  </si>
  <si>
    <t>Applicable_Dimensions</t>
  </si>
  <si>
    <t>Reliability_Level</t>
  </si>
  <si>
    <t>Example</t>
  </si>
  <si>
    <t>Confidentiality_Considerations</t>
  </si>
  <si>
    <t>EV-001</t>
  </si>
  <si>
    <t>Architecture &amp; Diagrams</t>
  </si>
  <si>
    <t>OT/IT Network Diagram</t>
  </si>
  <si>
    <t>Graphical representation of the industrial network architecture including equipment, connections and security zones</t>
  </si>
  <si>
    <t>D1, D2, D7</t>
  </si>
  <si>
    <t>High</t>
  </si>
  <si>
    <t>Youssoufia Mining 5.0 Network Architecture (Q12203-01-DG-DAL-00001)</t>
  </si>
  <si>
    <t>Confidential - Do not distribute outside assessment mission</t>
  </si>
  <si>
    <t>EV-002</t>
  </si>
  <si>
    <t>DCS/SCADA Architecture Diagram</t>
  </si>
  <si>
    <t>Diagram showing DCS/SCADA systems architecture, servers, workstations and connections</t>
  </si>
  <si>
    <t>D3, D4</t>
  </si>
  <si>
    <t>Youssoufia DCS Architecture (Q12203-01-IC-REQ-00006)</t>
  </si>
  <si>
    <t>EV-003</t>
  </si>
  <si>
    <t>Measurements &amp; Reports</t>
  </si>
  <si>
    <t>Network Availability Report</t>
  </si>
  <si>
    <t>Periodic report (monthly or weekly) showing OT network availability rate vs defined target</t>
  </si>
  <si>
    <t>NMS dashboard export showing 99.2% availability over last month</t>
  </si>
  <si>
    <t>Internal - Restricted to technical teams</t>
  </si>
  <si>
    <t>EV-004</t>
  </si>
  <si>
    <t>Alarm Statistics Report</t>
  </si>
  <si>
    <t>Statistical report on DCS/SCADA alarms: frequency, priority, acknowledgement time, nuisance rate</t>
  </si>
  <si>
    <t>90-day alarm statistics from DCS: 8.5% nuisance rate</t>
  </si>
  <si>
    <t>Internal - Restricted to operations teams</t>
  </si>
  <si>
    <t>EV-005</t>
  </si>
  <si>
    <t>Policies &amp; Procedures</t>
  </si>
  <si>
    <t>Digital Transformation Policy</t>
  </si>
  <si>
    <t>Formal document defining digital objectives, scope, responsibilities and governance KPIs, approved by management</t>
  </si>
  <si>
    <t>Site Digital Transformation Policy 2025-2030, signed by site director</t>
  </si>
  <si>
    <t>Internal - Can be shared with assessor</t>
  </si>
  <si>
    <t>EV-006</t>
  </si>
  <si>
    <t>OT Cybersecurity Policy</t>
  </si>
  <si>
    <t>Formal document defining security rules for OT systems: segmentation, access, patches, incident management</t>
  </si>
  <si>
    <t>OT Cybersecurity Specification Q12203-00-DG-SPC-00006</t>
  </si>
  <si>
    <t>Very confidential - Restricted</t>
  </si>
  <si>
    <t>EV-007</t>
  </si>
  <si>
    <t>Tests &amp; Demonstrations</t>
  </si>
  <si>
    <t>OT/IT Segmentation Test</t>
  </si>
  <si>
    <t>Test report confirming impossibility of unauthorized direct OT/IT access (packet filtering test)</t>
  </si>
  <si>
    <t>Very high</t>
  </si>
  <si>
    <t>Segmentation test report dated [date] confirming OT/IT firewall effectiveness</t>
  </si>
  <si>
    <t>EV-008</t>
  </si>
  <si>
    <t>DRP Test Report</t>
  </si>
  <si>
    <t>Report of OT disaster recovery plan test with measured RTO and actions list</t>
  </si>
  <si>
    <t>DRP test report of [date]: switchover in 42 minutes (RTO target: 60 min)</t>
  </si>
  <si>
    <t>EV-009</t>
  </si>
  <si>
    <t>OPC UA Connectivity Test</t>
  </si>
  <si>
    <t>Demonstration of data exchange via OPC UA between DCS and third-party client with measured latency</t>
  </si>
  <si>
    <t>OPC UA connectivity test: 25 critical tags accessible, latency 45ms average</t>
  </si>
  <si>
    <t>EV-010</t>
  </si>
  <si>
    <t>Inventories &amp; Matrices</t>
  </si>
  <si>
    <t>Equipment Inventory</t>
  </si>
  <si>
    <t>Complete list of field equipment (controllers, sensors, actuators) with connection status and protocols</t>
  </si>
  <si>
    <t>D1, D2, D3</t>
  </si>
  <si>
    <t>Medium</t>
  </si>
  <si>
    <t>IO Count Report Q12203-01-IC-LST-00001</t>
  </si>
  <si>
    <t>EV-011</t>
  </si>
  <si>
    <t>OT/IT Interface Matrix</t>
  </si>
  <si>
    <t>Table listing all inter-system interfaces with protocols, flows, frequencies and operational status</t>
  </si>
  <si>
    <t>Site interface matrix: 24 interfaces documented, 18 operational</t>
  </si>
  <si>
    <t>EV-012</t>
  </si>
  <si>
    <t>Digital Skills Matrix</t>
  </si>
  <si>
    <t>Matrix crossing employees by digital skill categories with evaluated current level</t>
  </si>
  <si>
    <t>Digital skills matrix covering 95 operators, technicians and engineers</t>
  </si>
  <si>
    <t>Confidential - HR data</t>
  </si>
  <si>
    <t>EV-013</t>
  </si>
  <si>
    <t>Monitoring &amp; Logs</t>
  </si>
  <si>
    <t>Remote Access Logs</t>
  </si>
  <si>
    <t>History of remote accesses to OT systems via Jump Host with user, duration and action identification</t>
  </si>
  <si>
    <t>Jump Host log extract: 12 sessions from 3 external providers in last month</t>
  </si>
  <si>
    <t>EV-014</t>
  </si>
  <si>
    <t>Historian Completeness Report</t>
  </si>
  <si>
    <t>Report showing completeness rate (% values received vs expected) per tag over a period</t>
  </si>
  <si>
    <t>Historian completeness report: 97.2% average on 450 critical tags over 30 days</t>
  </si>
  <si>
    <t>EV-015</t>
  </si>
  <si>
    <t>Training &amp; HR</t>
  </si>
  <si>
    <t>Training Plan</t>
  </si>
  <si>
    <t>Annual digital training plan with sessions planned, participants, budget and execution rate</t>
  </si>
  <si>
    <t>2025 Digital Training Plan: 22 sessions planned, 18 executed (82%)</t>
  </si>
  <si>
    <t>Internal - HR document</t>
  </si>
  <si>
    <t>EV-016</t>
  </si>
  <si>
    <t>Skill level evaluation conducted after training with measured before/after comparison</t>
  </si>
  <si>
    <t>Post-training evaluation OPC UA: average level 1.8 → 3.2 on 5 participants</t>
  </si>
  <si>
    <t>EV-017</t>
  </si>
  <si>
    <t>POC &amp; Innovation</t>
  </si>
  <si>
    <t>POC Documentation</t>
  </si>
  <si>
    <t>Complete POC file including objectives, method, results and go/no-go decision</t>
  </si>
  <si>
    <t>Vibration predictive maintenance POC: 3 avoided shutdowns over 6 months, go decision</t>
  </si>
  <si>
    <t>EV-018</t>
  </si>
  <si>
    <t>Governance &amp; Audits</t>
  </si>
  <si>
    <t>Digital Steering Committee Minutes</t>
  </si>
  <si>
    <t>Minutes of digital steering committee meetings with agenda, participants, decisions and action items</t>
  </si>
  <si>
    <t>Q2 2025 digital committee minutes: 4 projects reviewed, 2 arbitrations made</t>
  </si>
  <si>
    <t>Internal - Restricted to management</t>
  </si>
  <si>
    <t>EV-019</t>
  </si>
  <si>
    <t>Digital Audit Report</t>
  </si>
  <si>
    <t>Internal or external digital audit report with identified non-conformities and remediation plan</t>
  </si>
  <si>
    <t>Digital audit report November 2024: 8 NCs identified, 6 closed, 2 in progress</t>
  </si>
  <si>
    <t>EV-020</t>
  </si>
  <si>
    <t>Compliance Matrix</t>
  </si>
  <si>
    <t>Matrix tracking regulatory compliance for applicable digital regulations (IEC 62443, GDPR, sector regulations)</t>
  </si>
  <si>
    <t>D7, D8</t>
  </si>
  <si>
    <t>OT compliance matrix IEC 62443: 42 requirements, 28 compliant, 14 in progress</t>
  </si>
  <si>
    <t>EV-021</t>
  </si>
  <si>
    <t>Maintenance &amp; Reliability</t>
  </si>
  <si>
    <t>Avoided Shutdown Report</t>
  </si>
  <si>
    <t>Report documenting unplanned production shutdowns avoided thanks to predictive maintenance</t>
  </si>
  <si>
    <t>Avoided shutdown report: 3 shutdowns avoided in Q1 2025, estimated gain: 48h production</t>
  </si>
  <si>
    <t>EV-022</t>
  </si>
  <si>
    <t>CBMS Alert Report</t>
  </si>
  <si>
    <t>CBMS maintenance alert history with conditions detected, actions triggered and results</t>
  </si>
  <si>
    <t>CBMS alert report: 12 alerts in last month, 9 confirmed by maintenance, 3 false positives</t>
  </si>
  <si>
    <t>Internal - Restricted to maintenance teams</t>
  </si>
  <si>
    <t>EV-023</t>
  </si>
  <si>
    <t>Data &amp; Analytics</t>
  </si>
  <si>
    <t>Data Quality Dashboard</t>
  </si>
  <si>
    <t>Automatic dashboard showing process data quality rate: completeness, freshness, consistency</t>
  </si>
  <si>
    <t>Data quality dashboard: 96.8% completeness, 99.1% freshness on 450 tags</t>
  </si>
  <si>
    <t>EV-024</t>
  </si>
  <si>
    <t>ML Model Performance Report</t>
  </si>
  <si>
    <t>Report documenting ML model performance in production with precision, recall and gains measured</t>
  </si>
  <si>
    <t>Predictive maintenance model performance report: precision 89%, 3 avoided shutdowns</t>
  </si>
  <si>
    <t>EV-025</t>
  </si>
  <si>
    <t>Tag Index</t>
  </si>
  <si>
    <t>Complete correspondence table between historian tags and physical sensors with naming convention</t>
  </si>
  <si>
    <t>Tag index covering 450 tags with sensor reference, unit and sampling frequency</t>
  </si>
  <si>
    <t>EV-026</t>
  </si>
  <si>
    <t>Security</t>
  </si>
  <si>
    <t>Penetration Test Report</t>
  </si>
  <si>
    <t>OT penetration test report by qualified external provider with vulnerabilities identified and remediation plan</t>
  </si>
  <si>
    <t>OT penetration test report [date]: 3 critical vulnerabilities identified, 2 remediated</t>
  </si>
  <si>
    <t>EV-027</t>
  </si>
  <si>
    <t>Patch Management Report</t>
  </si>
  <si>
    <t>OT patch management report with patches applied, pending patches and vulnerability management schedule</t>
  </si>
  <si>
    <t>OT patch management report Q1 2025: 15 patches applied, 3 pending (compatibility test)</t>
  </si>
  <si>
    <t>EV-028</t>
  </si>
  <si>
    <t>OT AD User Report</t>
  </si>
  <si>
    <t>OT AD user report with account list, roles, last login and revoked accounts</t>
  </si>
  <si>
    <t>OT AD report: 48 active accounts, 3 revoked in last month, no shared accounts</t>
  </si>
  <si>
    <t>EV-029</t>
  </si>
  <si>
    <t>Digital Culture</t>
  </si>
  <si>
    <t>Adoption Report</t>
  </si>
  <si>
    <t>Digital tool adoption report with usage rate per tool and identified blockers</t>
  </si>
  <si>
    <t>Adoption report May 2025: historian 94%, SCADA 100%, BI platform 67% (target: 80%)</t>
  </si>
  <si>
    <t>EV-030</t>
  </si>
  <si>
    <t>Innovation Partnership</t>
  </si>
  <si>
    <t>Document formalizing innovation partnership (contract, agreement, memorandum of understanding) with active contribution evidence</t>
  </si>
  <si>
    <t>Agreement with OCP Group Innovation Hub for co-development of predictive maintenance POC</t>
  </si>
  <si>
    <t>QUESTIONNAIRE_TEMPLATE — Field data entry sheet (60 lines)</t>
  </si>
  <si>
    <t>Selected_Score</t>
  </si>
  <si>
    <t>Evidence_Reference</t>
  </si>
  <si>
    <t>Evaluator_Comment</t>
  </si>
  <si>
    <t>Confidence_Level</t>
  </si>
  <si>
    <t>Applicability</t>
  </si>
  <si>
    <t>What % of field equipment is connected to the OT network?</t>
  </si>
  <si>
    <t>Applicable</t>
  </si>
  <si>
    <t>Draft</t>
  </si>
  <si>
    <t>Are critical OT network paths equipped with tested redundancy?</t>
  </si>
  <si>
    <t>Is OT network availability measured and compared to a target?</t>
  </si>
  <si>
    <t>Les serveurs OT sont-ils déployés sur une infrastructure virtualisée ?</t>
  </si>
  <si>
    <t>Les serveurs OT disposent-ils d'une capacité de réserve ≥ 30 % ?</t>
  </si>
  <si>
    <t>Un plan de reprise d'activité OT est-il documenté, approuvé et testé ?</t>
  </si>
  <si>
    <t>Les échanges inter-équipements utilisent-ils des protocoles normalisés ?</t>
  </si>
  <si>
    <t>Un serveur OPC UA est-il déployé et opérationnel ?</t>
  </si>
  <si>
    <t>Toutes les interfaces inter-systèmes sont-elles documentées ?</t>
  </si>
  <si>
    <t>Les données OT remontent-elles automatiquement vers les systèmes IT ?</t>
  </si>
  <si>
    <t>Les flux OT/IT sont-ils supervisés avec alertes automatiques ?</t>
  </si>
  <si>
    <t>La latence et le taux de disponibilité des échanges OT/IT sont-ils mesurés vs SLA ?</t>
  </si>
  <si>
    <t>Quel % des boucles critiques est piloté par un DCS ou PLC ?</t>
  </si>
  <si>
    <t>La configuration complète du DCS est-elle documentée et à jour ?</t>
  </si>
  <si>
    <t>Le système d'alarmes DCS fait-il l'objet d'une gestion active et rationalisée ?</t>
  </si>
  <si>
    <t>Un MES est-il déployé, interfacé au DCS et utilisé pour la traçabilité ?</t>
  </si>
  <si>
    <t>L'ordonnancement de production est-il réalisé par un outil automatisé ?</t>
  </si>
  <si>
    <t>Les écarts planifié/réel sont-ils mesurés automatiquement et documentés ?</t>
  </si>
  <si>
    <t>Quel % des équipements est supervisé via SCADA centralisé ?</t>
  </si>
  <si>
    <t>Les IHM sont-elles standardisées selon une charte documentée ?</t>
  </si>
  <si>
    <t>Le taux d'alarmes nuisances SCADA est-il mesuré et géré ?</t>
  </si>
  <si>
    <t>Quel % des équipements critiques a des capteurs de condition ?</t>
  </si>
  <si>
    <t>Un système CBMS est-il opérationnel et utilisé par la maintenance ?</t>
  </si>
  <si>
    <t>Des modèles prédictifs de défaillance sont-ils actifs en production ?</t>
  </si>
  <si>
    <t>Un historian couvre-t-il ≥ 80 % des points de mesure critiques ?</t>
  </si>
  <si>
    <t>La rétention historian est-elle ≥ 12 mois sur les variables critiques ?</t>
  </si>
  <si>
    <t>Chaque donnée est-elle traçable jusqu'à sa source primaire ?</t>
  </si>
  <si>
    <t>Une politique de qualité des données est-elle formalisée et approuvée ?</t>
  </si>
  <si>
    <t>Un référentiel de données industrielles est-il documenté et maintenu ?</t>
  </si>
  <si>
    <t>La qualité des données est-elle mesurée automatiquement vs objectif ?</t>
  </si>
  <si>
    <t>Des tableaux de bord KPI sont-ils disponibles en temps réel sans saisie manuelle ?</t>
  </si>
  <si>
    <t>Une plateforme BI industrielle est-elle déployée et utilisée régulièrement ?</t>
  </si>
  <si>
    <t>Les analyses de causes racines sont-elles réalisées avec méthode structurée ?</t>
  </si>
  <si>
    <t>Au moins 1 modèle ML est-il en production sur données industrielles réelles ?</t>
  </si>
  <si>
    <t>Le pipeline de données ML est-il documenté, automatisé et opérationnel ?</t>
  </si>
  <si>
    <t>Les modèles IA ont-ils produit un gain documenté et quantifié sur un KPI ?</t>
  </si>
  <si>
    <t>Does a dedicated firewall separate OT and IT networks?</t>
  </si>
  <si>
    <t>Une DMZ OT (L3.5) dédiée est-elle déployée et opérationnelle ?</t>
  </si>
  <si>
    <t>Une politique de patch management OT est-elle appliquée selon calendrier ?</t>
  </si>
  <si>
    <t>Un Active Directory OT dédié est-il déployé et opérationnel ?</t>
  </si>
  <si>
    <t>Les accès distants OT passent-ils par un Jump Host + MFA avec logs ?</t>
  </si>
  <si>
    <t>Les droits d'accès OT font-ils l'objet d'une revue annuelle documentée ?</t>
  </si>
  <si>
    <t>Une politique de transformation digitale est-elle documentée et approuvée ?</t>
  </si>
  <si>
    <t>Les modifications des systèmes digitaux suivent-elles un processus formalisé ?</t>
  </si>
  <si>
    <t>Un comité de gouvernance digital se réunit-il avec PV documentés ?</t>
  </si>
  <si>
    <t>Un plan d'audit OT/IT est-il planifié et exécuté avec rapport disponible ?</t>
  </si>
  <si>
    <t>Les non-conformités digitales sont-elles tracées dans un outil de suivi ?</t>
  </si>
  <si>
    <t>La conformité réglementaire digitale est-elle documentée et maintenue à jour ?</t>
  </si>
  <si>
    <t>Une cartographie des compétences digitales a-t-elle été réalisée et documentée ?</t>
  </si>
  <si>
    <t>Les gaps de compétences digitales sont-ils documentés et priorisés ?</t>
  </si>
  <si>
    <t>Les compétences digitales requises sont-elles intégrées dans les fiches de poste ?</t>
  </si>
  <si>
    <t>Un plan de formation digitale est-il approuvé avec budget alloué ?</t>
  </si>
  <si>
    <t>Le taux d'exécution du plan de formation est-il mesuré et suivi ?</t>
  </si>
  <si>
    <t>Are post-training evaluations conducted systematically?</t>
  </si>
  <si>
    <t>Le taux d'adoption des outils numériques est-il mesuré objectivement ?</t>
  </si>
  <si>
    <t>Un référent digital est-il identifié avec fiche de mission et actions documentées ?</t>
  </si>
  <si>
    <t>Un processus de collecte et traitement des REX digitaux est-il actif ?</t>
  </si>
  <si>
    <t>Des POC digitaux sont-ils planifiés et documentés selon une méthode structurée ?</t>
  </si>
  <si>
    <t>Les succès digitaux sont-ils documentés et répliqués sur d'autres unités ?</t>
  </si>
  <si>
    <t>Une veille techno et des partenariats d'innovation formalisés sont-ils actifs ?</t>
  </si>
  <si>
    <t>═══ ZONE DE CALCUL AUTOMATIQUE (NE PAS MODIFIER) ═══</t>
  </si>
  <si>
    <t>Digital Absence</t>
  </si>
  <si>
    <t>Digitization</t>
  </si>
  <si>
    <t>Connectivity</t>
  </si>
  <si>
    <t>Visibility</t>
  </si>
  <si>
    <t>Optimization</t>
  </si>
  <si>
    <t>Supervised Digital Excellence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</si>
</sst>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charset val="1"/>
    </font>
    <font>
      <b/>
      <sz val="12"/>
      <color rgb="FFFFFFFF"/>
      <name val="Arial"/>
      <charset val="1"/>
    </font>
    <font>
      <sz val="9"/>
      <color rgb="FF1F2937"/>
      <name val="Arial"/>
      <charset val="1"/>
    </font>
    <font>
      <b/>
      <sz val="9"/>
      <color rgb="FFFFFFFF"/>
      <name val="Arial"/>
      <charset val="1"/>
    </font>
    <font>
      <b/>
      <sz val="9"/>
      <color rgb="FF1F2937"/>
      <name val="Arial"/>
      <charset val="1"/>
    </font>
    <font>
      <sz val="9"/>
      <color rgb="FFFFFFFF"/>
      <name val="Arial"/>
      <charset val="1"/>
    </font>
    <font>
      <sz val="9"/>
      <color rgb="FF0070C0"/>
      <name val="Arial"/>
      <charset val="1"/>
    </font>
    <font>
      <i/>
      <sz val="9"/>
      <color rgb="FFC00000"/>
      <name val="Arial"/>
      <charset val="1"/>
    </font>
    <font>
      <b/>
      <sz val="9"/>
      <name val="Arial"/>
      <charset val="1"/>
    </font>
    <font>
      <b/>
      <sz val="11"/>
      <color rgb="FF1F2937"/>
      <name val="Arial"/>
      <charset val="1"/>
    </font>
    <font>
      <b/>
      <sz val="9"/>
      <color rgb="FFC00000"/>
      <name val="Arial"/>
      <charset val="1"/>
    </font>
  </fonts>
  <fills count="15">
    <fill>
      <patternFill patternType="none"/>
    </fill>
    <fill>
      <patternFill patternType="gray125"/>
    </fill>
    <fill>
      <patternFill patternType="solid">
        <fgColor rgb="FF2E75B6"/>
        <bgColor rgb="FF4472C4"/>
      </patternFill>
    </fill>
    <fill>
      <patternFill patternType="solid">
        <fgColor rgb="FF1F4E79"/>
        <bgColor rgb="FF003366"/>
      </patternFill>
    </fill>
    <fill>
      <patternFill patternType="solid">
        <fgColor rgb="FFFFFFFF"/>
        <bgColor rgb="FFF8FBFF"/>
      </patternFill>
    </fill>
    <fill>
      <patternFill patternType="solid">
        <fgColor rgb="FFEBF3FB"/>
        <bgColor rgb="FFF2F2F2"/>
      </patternFill>
    </fill>
    <fill>
      <patternFill patternType="solid">
        <fgColor rgb="FFDEEAF1"/>
        <bgColor rgb="FFE2EFDA"/>
      </patternFill>
    </fill>
    <fill>
      <patternFill patternType="solid">
        <fgColor rgb="FFE2EFDA"/>
        <bgColor rgb="FFDEEAF1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EAD1DC"/>
        <bgColor rgb="FFFCE4D6"/>
      </patternFill>
    </fill>
    <fill>
      <patternFill patternType="solid">
        <fgColor rgb="FFF2F2F2"/>
        <bgColor rgb="FFEBF3FB"/>
      </patternFill>
    </fill>
    <fill>
      <patternFill patternType="solid">
        <fgColor rgb="FFBDD7EE"/>
        <bgColor rgb="FFDEEAF1"/>
      </patternFill>
    </fill>
    <fill>
      <patternFill patternType="solid">
        <fgColor rgb="FF9DC3E6"/>
        <bgColor rgb="FFADB9CA"/>
      </patternFill>
    </fill>
    <fill>
      <patternFill patternType="solid">
        <fgColor rgb="FFF8FBFF"/>
        <bgColor rgb="FFFFFFFF"/>
      </patternFill>
    </fill>
  </fills>
  <borders count="2">
    <border>
      <left/>
      <right/>
      <top/>
      <bottom/>
      <diagonal/>
    </border>
    <border>
      <left style="thin">
        <color rgb="FFADB9CA"/>
      </left>
      <right style="thin">
        <color rgb="FFADB9CA"/>
      </right>
      <top style="thin">
        <color rgb="FFADB9CA"/>
      </top>
      <bottom style="thin">
        <color rgb="FFADB9CA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top" wrapText="1"/>
    </xf>
    <xf numFmtId="0" fontId="2" fillId="4" borderId="1" xfId="0" applyFont="1" applyFill="1" applyBorder="1" applyAlignment="1">
      <alignment horizontal="left" vertical="top" wrapText="1"/>
    </xf>
    <xf numFmtId="0" fontId="4" fillId="5" borderId="1" xfId="0" applyFont="1" applyFill="1" applyBorder="1" applyAlignment="1">
      <alignment horizontal="left" vertical="top" wrapText="1"/>
    </xf>
    <xf numFmtId="0" fontId="2" fillId="5" borderId="1" xfId="0" applyFont="1" applyFill="1" applyBorder="1" applyAlignment="1">
      <alignment horizontal="left" vertical="top" wrapText="1"/>
    </xf>
    <xf numFmtId="0" fontId="2" fillId="6" borderId="1" xfId="0" applyFont="1" applyFill="1" applyBorder="1" applyAlignment="1">
      <alignment horizontal="left" vertical="top" wrapText="1"/>
    </xf>
    <xf numFmtId="0" fontId="2" fillId="7" borderId="1" xfId="0" applyFont="1" applyFill="1" applyBorder="1" applyAlignment="1">
      <alignment horizontal="left" vertical="top" wrapText="1"/>
    </xf>
    <xf numFmtId="0" fontId="2" fillId="8" borderId="1" xfId="0" applyFont="1" applyFill="1" applyBorder="1" applyAlignment="1">
      <alignment horizontal="left" vertical="top" wrapText="1"/>
    </xf>
    <xf numFmtId="0" fontId="2" fillId="9" borderId="1" xfId="0" applyFont="1" applyFill="1" applyBorder="1" applyAlignment="1">
      <alignment horizontal="left" vertical="top" wrapText="1"/>
    </xf>
    <xf numFmtId="0" fontId="2" fillId="10" borderId="1" xfId="0" applyFont="1" applyFill="1" applyBorder="1" applyAlignment="1">
      <alignment horizontal="left" vertical="top" wrapText="1"/>
    </xf>
    <xf numFmtId="0" fontId="4" fillId="11" borderId="1" xfId="0" applyFont="1" applyFill="1" applyBorder="1" applyAlignment="1">
      <alignment horizontal="center" vertical="top" wrapText="1"/>
    </xf>
    <xf numFmtId="0" fontId="2" fillId="11" borderId="1" xfId="0" applyFont="1" applyFill="1" applyBorder="1" applyAlignment="1">
      <alignment horizontal="left" vertical="top" wrapText="1"/>
    </xf>
    <xf numFmtId="0" fontId="4" fillId="6" borderId="1" xfId="0" applyFont="1" applyFill="1" applyBorder="1" applyAlignment="1">
      <alignment horizontal="center" vertical="top" wrapText="1"/>
    </xf>
    <xf numFmtId="0" fontId="4" fillId="12" borderId="1" xfId="0" applyFont="1" applyFill="1" applyBorder="1" applyAlignment="1">
      <alignment horizontal="center" vertical="top" wrapText="1"/>
    </xf>
    <xf numFmtId="0" fontId="2" fillId="12" borderId="1" xfId="0" applyFont="1" applyFill="1" applyBorder="1" applyAlignment="1">
      <alignment horizontal="left" vertical="top" wrapText="1"/>
    </xf>
    <xf numFmtId="0" fontId="4" fillId="13" borderId="1" xfId="0" applyFont="1" applyFill="1" applyBorder="1" applyAlignment="1">
      <alignment horizontal="center" vertical="top" wrapText="1"/>
    </xf>
    <xf numFmtId="0" fontId="2" fillId="13" borderId="1" xfId="0" applyFont="1" applyFill="1" applyBorder="1" applyAlignment="1">
      <alignment horizontal="left" vertical="top" wrapText="1"/>
    </xf>
    <xf numFmtId="0" fontId="3" fillId="2" borderId="1" xfId="0" applyFont="1" applyFill="1" applyBorder="1" applyAlignment="1">
      <alignment horizontal="center" vertical="top" wrapText="1"/>
    </xf>
    <xf numFmtId="0" fontId="5" fillId="2" borderId="1" xfId="0" applyFont="1" applyFill="1" applyBorder="1" applyAlignment="1">
      <alignment horizontal="left" vertical="top" wrapText="1"/>
    </xf>
    <xf numFmtId="0" fontId="3" fillId="3" borderId="1" xfId="0" applyFont="1" applyFill="1" applyBorder="1" applyAlignment="1">
      <alignment horizontal="center" vertical="top" wrapText="1"/>
    </xf>
    <xf numFmtId="0" fontId="5" fillId="3" borderId="1" xfId="0" applyFont="1" applyFill="1" applyBorder="1" applyAlignment="1">
      <alignment horizontal="left" vertical="top" wrapText="1"/>
    </xf>
    <xf numFmtId="0" fontId="4" fillId="11" borderId="1" xfId="0" applyFont="1" applyFill="1" applyBorder="1" applyAlignment="1">
      <alignment horizontal="left" vertical="top" wrapText="1"/>
    </xf>
    <xf numFmtId="0" fontId="2" fillId="14" borderId="1" xfId="0" applyFont="1" applyFill="1" applyBorder="1" applyAlignment="1">
      <alignment horizontal="left" vertical="top" wrapText="1"/>
    </xf>
    <xf numFmtId="0" fontId="4" fillId="6" borderId="1" xfId="0" applyFont="1" applyFill="1" applyBorder="1" applyAlignment="1">
      <alignment horizontal="left" vertical="top" wrapText="1"/>
    </xf>
    <xf numFmtId="0" fontId="4" fillId="12" borderId="1" xfId="0" applyFont="1" applyFill="1" applyBorder="1" applyAlignment="1">
      <alignment horizontal="left" vertical="top" wrapText="1"/>
    </xf>
    <xf numFmtId="0" fontId="4" fillId="13" borderId="1" xfId="0" applyFont="1" applyFill="1" applyBorder="1" applyAlignment="1">
      <alignment horizontal="left" vertical="top" wrapText="1"/>
    </xf>
    <xf numFmtId="0" fontId="3" fillId="2" borderId="1" xfId="0" applyFont="1" applyFill="1" applyBorder="1" applyAlignment="1">
      <alignment horizontal="left" vertical="top" wrapText="1"/>
    </xf>
    <xf numFmtId="0" fontId="3" fillId="3" borderId="1" xfId="0" applyFont="1" applyFill="1" applyBorder="1" applyAlignment="1">
      <alignment horizontal="left" vertical="top" wrapText="1"/>
    </xf>
    <xf numFmtId="0" fontId="4" fillId="8" borderId="1" xfId="0" applyFont="1" applyFill="1" applyBorder="1" applyAlignment="1">
      <alignment horizontal="left" vertical="top" wrapText="1"/>
    </xf>
    <xf numFmtId="0" fontId="6" fillId="0" borderId="1" xfId="0" applyFont="1" applyBorder="1" applyAlignment="1">
      <alignment horizontal="left" vertical="top" wrapText="1"/>
    </xf>
    <xf numFmtId="0" fontId="8" fillId="8" borderId="1" xfId="0" applyFont="1" applyFill="1" applyBorder="1" applyAlignment="1">
      <alignment horizontal="left" vertical="top" wrapText="1"/>
    </xf>
    <xf numFmtId="0" fontId="4" fillId="7" borderId="1" xfId="0" applyFont="1" applyFill="1" applyBorder="1" applyAlignment="1">
      <alignment horizontal="left" vertical="top" wrapText="1"/>
    </xf>
    <xf numFmtId="0" fontId="4" fillId="9" borderId="1" xfId="0" applyFont="1" applyFill="1" applyBorder="1" applyAlignment="1">
      <alignment horizontal="left" vertical="top" wrapText="1"/>
    </xf>
    <xf numFmtId="0" fontId="4" fillId="10" borderId="1" xfId="0" applyFont="1" applyFill="1" applyBorder="1" applyAlignment="1">
      <alignment horizontal="left" vertical="top" wrapText="1"/>
    </xf>
    <xf numFmtId="0" fontId="9" fillId="8" borderId="1" xfId="0" applyFont="1" applyFill="1" applyBorder="1" applyAlignment="1">
      <alignment horizontal="center" vertical="center" wrapText="1"/>
    </xf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7" fillId="8" borderId="0" xfId="0" applyFont="1" applyFill="1"/>
    <xf numFmtId="0" fontId="7" fillId="8" borderId="0" xfId="0" applyFont="1" applyFill="1" applyAlignment="1">
      <alignment horizontal="left" vertical="top" wrapText="1"/>
    </xf>
    <xf numFmtId="0" fontId="1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E75B6"/>
      <rgbColor rgb="FFADB9CA"/>
      <rgbColor rgb="FF808080"/>
      <rgbColor rgb="FF9999FF"/>
      <rgbColor rgb="FF7030A0"/>
      <rgbColor rgb="FFFFF2CC"/>
      <rgbColor rgb="FFEBF3FB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AF1"/>
      <rgbColor rgb="FFE2EFDA"/>
      <rgbColor rgb="FFFCE4D6"/>
      <rgbColor rgb="FF9DC3E6"/>
      <rgbColor rgb="FFF2F2F2"/>
      <rgbColor rgb="FFF8FBFF"/>
      <rgbColor rgb="FFEAD1DC"/>
      <rgbColor rgb="FF4472C4"/>
      <rgbColor rgb="FF33CCCC"/>
      <rgbColor rgb="FF99CC00"/>
      <rgbColor rgb="FFFFCC00"/>
      <rgbColor rgb="FFFF9900"/>
      <rgbColor rgb="FFED7D31"/>
      <rgbColor rgb="FF666699"/>
      <rgbColor rgb="FF969696"/>
      <rgbColor rgb="FF003366"/>
      <rgbColor rgb="FF339966"/>
      <rgbColor rgb="FF003300"/>
      <rgbColor rgb="FF375623"/>
      <rgbColor rgb="FF993300"/>
      <rgbColor rgb="FF993366"/>
      <rgbColor rgb="FF1F4E79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C14"/>
  <sheetViews>
    <sheetView showGridLines="0" zoomScale="85" zoomScaleNormal="100" workbookViewId="0">
      <pane ySplit="2" topLeftCell="A3" activePane="bottomLeft" state="frozen"/>
      <selection pane="bottomLeft" activeCell="C14" sqref="C14"/>
    </sheetView>
  </sheetViews>
  <sheetFormatPr baseColWidth="10" defaultColWidth="8.6328125" defaultRowHeight="14.5" x14ac:dyDescent="0.35"/>
  <cols>
    <col min="1" max="1" width="32" customWidth="1"/>
    <col min="2" max="2" width="50" customWidth="1"/>
    <col min="3" max="3" width="55" customWidth="1"/>
  </cols>
  <sheetData>
    <row r="1" spans="1:3" ht="21.75" customHeight="1" x14ac:dyDescent="0.35">
      <c r="A1" s="37" t="s">
        <v>0</v>
      </c>
      <c r="B1" s="36"/>
      <c r="C1" s="36"/>
    </row>
    <row r="2" spans="1:3" ht="15" customHeight="1" x14ac:dyDescent="0.35">
      <c r="A2" s="1" t="s">
        <v>1</v>
      </c>
      <c r="B2" s="1" t="s">
        <v>2</v>
      </c>
      <c r="C2" s="1" t="s">
        <v>3</v>
      </c>
    </row>
    <row r="3" spans="1:3" ht="18" customHeight="1" x14ac:dyDescent="0.35">
      <c r="A3" s="2" t="s">
        <v>4</v>
      </c>
      <c r="B3" s="3" t="s">
        <v>5</v>
      </c>
      <c r="C3" s="3" t="s">
        <v>6</v>
      </c>
    </row>
    <row r="4" spans="1:3" ht="18" customHeight="1" x14ac:dyDescent="0.35">
      <c r="A4" s="4" t="s">
        <v>7</v>
      </c>
      <c r="B4" s="5"/>
      <c r="C4" s="5" t="s">
        <v>8</v>
      </c>
    </row>
    <row r="5" spans="1:3" ht="18" customHeight="1" x14ac:dyDescent="0.35">
      <c r="A5" s="2" t="s">
        <v>9</v>
      </c>
      <c r="B5" s="3"/>
      <c r="C5" s="3" t="s">
        <v>10</v>
      </c>
    </row>
    <row r="6" spans="1:3" ht="18" customHeight="1" x14ac:dyDescent="0.35">
      <c r="A6" s="4" t="s">
        <v>11</v>
      </c>
      <c r="B6" s="5"/>
      <c r="C6" s="5" t="s">
        <v>12</v>
      </c>
    </row>
    <row r="7" spans="1:3" ht="18" customHeight="1" x14ac:dyDescent="0.35">
      <c r="A7" s="2" t="s">
        <v>13</v>
      </c>
      <c r="B7" s="3"/>
      <c r="C7" s="3" t="s">
        <v>14</v>
      </c>
    </row>
    <row r="8" spans="1:3" ht="18" customHeight="1" x14ac:dyDescent="0.35">
      <c r="A8" s="4" t="s">
        <v>15</v>
      </c>
      <c r="B8" s="5"/>
      <c r="C8" s="5" t="s">
        <v>16</v>
      </c>
    </row>
    <row r="9" spans="1:3" ht="18" customHeight="1" x14ac:dyDescent="0.35">
      <c r="A9" s="2" t="s">
        <v>17</v>
      </c>
      <c r="B9" s="3"/>
      <c r="C9" s="3" t="s">
        <v>18</v>
      </c>
    </row>
    <row r="10" spans="1:3" ht="18" customHeight="1" x14ac:dyDescent="0.35">
      <c r="A10" s="4" t="s">
        <v>19</v>
      </c>
      <c r="B10" s="5"/>
      <c r="C10" s="5" t="s">
        <v>20</v>
      </c>
    </row>
    <row r="11" spans="1:3" ht="18" customHeight="1" x14ac:dyDescent="0.35">
      <c r="A11" s="2" t="s">
        <v>21</v>
      </c>
      <c r="B11" s="3"/>
      <c r="C11" s="3" t="s">
        <v>22</v>
      </c>
    </row>
    <row r="12" spans="1:3" ht="18" customHeight="1" x14ac:dyDescent="0.35">
      <c r="A12" s="4" t="s">
        <v>23</v>
      </c>
      <c r="B12" s="5" t="s">
        <v>24</v>
      </c>
      <c r="C12" s="5" t="s">
        <v>25</v>
      </c>
    </row>
    <row r="13" spans="1:3" ht="18" customHeight="1" x14ac:dyDescent="0.35">
      <c r="A13" s="2" t="s">
        <v>26</v>
      </c>
      <c r="B13" s="3" t="s">
        <v>24</v>
      </c>
      <c r="C13" s="3" t="s">
        <v>27</v>
      </c>
    </row>
    <row r="14" spans="1:3" ht="18" customHeight="1" x14ac:dyDescent="0.35">
      <c r="A14" s="4" t="s">
        <v>28</v>
      </c>
      <c r="B14" s="5"/>
      <c r="C14" s="5" t="s">
        <v>29</v>
      </c>
    </row>
  </sheetData>
  <mergeCells count="1">
    <mergeCell ref="A1:C1"/>
  </mergeCells>
  <pageMargins left="0.75" right="0.75" top="1" bottom="1" header="0.511811023622047" footer="0.511811023622047"/>
  <pageSetup paperSize="9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E75B6"/>
  </sheetPr>
  <dimension ref="A1:J22"/>
  <sheetViews>
    <sheetView showGridLines="0" zoomScale="33" zoomScaleNormal="100" workbookViewId="0">
      <pane ySplit="2" topLeftCell="A17" activePane="bottomLeft" state="frozen"/>
      <selection pane="bottomLeft" activeCell="V49" sqref="V49"/>
    </sheetView>
  </sheetViews>
  <sheetFormatPr baseColWidth="10" defaultColWidth="8.6328125" defaultRowHeight="14.5" x14ac:dyDescent="0.35"/>
  <cols>
    <col min="1" max="1" width="8" customWidth="1"/>
    <col min="2" max="2" width="25" customWidth="1"/>
    <col min="3" max="3" width="8" customWidth="1"/>
    <col min="4" max="4" width="28" customWidth="1"/>
    <col min="5" max="5" width="8" customWidth="1"/>
    <col min="6" max="6" width="35" customWidth="1"/>
    <col min="7" max="10" width="45" customWidth="1"/>
  </cols>
  <sheetData>
    <row r="1" spans="1:10" ht="21.75" customHeight="1" x14ac:dyDescent="0.35">
      <c r="A1" s="37" t="s">
        <v>30</v>
      </c>
      <c r="B1" s="36"/>
      <c r="C1" s="36"/>
      <c r="D1" s="36"/>
      <c r="E1" s="36"/>
      <c r="F1" s="36"/>
      <c r="G1" s="36"/>
      <c r="H1" s="36"/>
      <c r="I1" s="36"/>
      <c r="J1" s="36"/>
    </row>
    <row r="2" spans="1:10" ht="42.75" customHeight="1" x14ac:dyDescent="0.35">
      <c r="A2" s="1" t="s">
        <v>31</v>
      </c>
      <c r="B2" s="1" t="s">
        <v>32</v>
      </c>
      <c r="C2" s="1" t="s">
        <v>33</v>
      </c>
      <c r="D2" s="1" t="s">
        <v>34</v>
      </c>
      <c r="E2" s="1" t="s">
        <v>35</v>
      </c>
      <c r="F2" s="1" t="s">
        <v>36</v>
      </c>
      <c r="G2" s="1" t="s">
        <v>37</v>
      </c>
      <c r="H2" s="1" t="s">
        <v>38</v>
      </c>
      <c r="I2" s="1" t="s">
        <v>39</v>
      </c>
      <c r="J2" s="1" t="s">
        <v>40</v>
      </c>
    </row>
    <row r="3" spans="1:10" ht="45" customHeight="1" x14ac:dyDescent="0.35">
      <c r="A3" s="6" t="s">
        <v>41</v>
      </c>
      <c r="B3" s="6" t="s">
        <v>42</v>
      </c>
      <c r="C3" s="3" t="s">
        <v>43</v>
      </c>
      <c r="D3" s="3" t="s">
        <v>44</v>
      </c>
      <c r="E3" s="3" t="s">
        <v>45</v>
      </c>
      <c r="F3" s="3" t="s">
        <v>46</v>
      </c>
      <c r="G3" s="3" t="s">
        <v>47</v>
      </c>
      <c r="H3" s="3" t="s">
        <v>48</v>
      </c>
      <c r="I3" s="3" t="s">
        <v>49</v>
      </c>
      <c r="J3" s="3" t="s">
        <v>50</v>
      </c>
    </row>
    <row r="4" spans="1:10" ht="45" customHeight="1" x14ac:dyDescent="0.35">
      <c r="A4" s="6" t="s">
        <v>41</v>
      </c>
      <c r="B4" s="6" t="s">
        <v>42</v>
      </c>
      <c r="C4" s="5" t="s">
        <v>43</v>
      </c>
      <c r="D4" s="5" t="s">
        <v>44</v>
      </c>
      <c r="E4" s="5" t="s">
        <v>51</v>
      </c>
      <c r="F4" s="5" t="s">
        <v>52</v>
      </c>
      <c r="G4" s="5" t="s">
        <v>53</v>
      </c>
      <c r="H4" s="5" t="s">
        <v>54</v>
      </c>
      <c r="I4" s="5" t="s">
        <v>55</v>
      </c>
      <c r="J4" s="5" t="s">
        <v>56</v>
      </c>
    </row>
    <row r="5" spans="1:10" ht="45" customHeight="1" x14ac:dyDescent="0.35">
      <c r="A5" s="6" t="s">
        <v>41</v>
      </c>
      <c r="B5" s="6" t="s">
        <v>42</v>
      </c>
      <c r="C5" s="3" t="s">
        <v>57</v>
      </c>
      <c r="D5" s="3" t="s">
        <v>58</v>
      </c>
      <c r="E5" s="3" t="s">
        <v>59</v>
      </c>
      <c r="F5" s="3" t="s">
        <v>60</v>
      </c>
      <c r="G5" s="3" t="s">
        <v>61</v>
      </c>
      <c r="H5" s="3" t="s">
        <v>62</v>
      </c>
      <c r="I5" s="3" t="s">
        <v>63</v>
      </c>
      <c r="J5" s="3" t="s">
        <v>64</v>
      </c>
    </row>
    <row r="6" spans="1:10" ht="45" customHeight="1" x14ac:dyDescent="0.35">
      <c r="A6" s="6" t="s">
        <v>41</v>
      </c>
      <c r="B6" s="6" t="s">
        <v>42</v>
      </c>
      <c r="C6" s="5" t="s">
        <v>57</v>
      </c>
      <c r="D6" s="5" t="s">
        <v>58</v>
      </c>
      <c r="E6" s="5" t="s">
        <v>65</v>
      </c>
      <c r="F6" s="5" t="s">
        <v>66</v>
      </c>
      <c r="G6" s="5" t="s">
        <v>67</v>
      </c>
      <c r="H6" s="5" t="s">
        <v>68</v>
      </c>
      <c r="I6" s="5" t="s">
        <v>69</v>
      </c>
      <c r="J6" s="5" t="s">
        <v>70</v>
      </c>
    </row>
    <row r="7" spans="1:10" ht="45" customHeight="1" x14ac:dyDescent="0.35">
      <c r="A7" s="7" t="s">
        <v>71</v>
      </c>
      <c r="B7" s="7" t="s">
        <v>72</v>
      </c>
      <c r="C7" s="3" t="s">
        <v>73</v>
      </c>
      <c r="D7" s="3" t="s">
        <v>74</v>
      </c>
      <c r="E7" s="3" t="s">
        <v>75</v>
      </c>
      <c r="F7" s="3" t="s">
        <v>76</v>
      </c>
      <c r="G7" s="3" t="s">
        <v>77</v>
      </c>
      <c r="H7" s="3" t="s">
        <v>78</v>
      </c>
      <c r="I7" s="3" t="s">
        <v>79</v>
      </c>
      <c r="J7" s="3" t="s">
        <v>80</v>
      </c>
    </row>
    <row r="8" spans="1:10" ht="45" customHeight="1" x14ac:dyDescent="0.35">
      <c r="A8" s="7" t="s">
        <v>71</v>
      </c>
      <c r="B8" s="7" t="s">
        <v>72</v>
      </c>
      <c r="C8" s="5" t="s">
        <v>73</v>
      </c>
      <c r="D8" s="5" t="s">
        <v>74</v>
      </c>
      <c r="E8" s="5" t="s">
        <v>81</v>
      </c>
      <c r="F8" s="5" t="s">
        <v>82</v>
      </c>
      <c r="G8" s="5" t="s">
        <v>83</v>
      </c>
      <c r="H8" s="5" t="s">
        <v>84</v>
      </c>
      <c r="I8" s="5" t="s">
        <v>85</v>
      </c>
      <c r="J8" s="5" t="s">
        <v>86</v>
      </c>
    </row>
    <row r="9" spans="1:10" ht="45" customHeight="1" x14ac:dyDescent="0.35">
      <c r="A9" s="7" t="s">
        <v>71</v>
      </c>
      <c r="B9" s="7" t="s">
        <v>72</v>
      </c>
      <c r="C9" s="3" t="s">
        <v>87</v>
      </c>
      <c r="D9" s="3" t="s">
        <v>88</v>
      </c>
      <c r="E9" s="3" t="s">
        <v>89</v>
      </c>
      <c r="F9" s="3" t="s">
        <v>90</v>
      </c>
      <c r="G9" s="3" t="s">
        <v>91</v>
      </c>
      <c r="H9" s="3" t="s">
        <v>92</v>
      </c>
      <c r="I9" s="3" t="s">
        <v>93</v>
      </c>
      <c r="J9" s="3" t="s">
        <v>94</v>
      </c>
    </row>
    <row r="10" spans="1:10" ht="45" customHeight="1" x14ac:dyDescent="0.35">
      <c r="A10" s="7" t="s">
        <v>71</v>
      </c>
      <c r="B10" s="7" t="s">
        <v>72</v>
      </c>
      <c r="C10" s="5" t="s">
        <v>87</v>
      </c>
      <c r="D10" s="5" t="s">
        <v>88</v>
      </c>
      <c r="E10" s="5" t="s">
        <v>95</v>
      </c>
      <c r="F10" s="5" t="s">
        <v>96</v>
      </c>
      <c r="G10" s="5" t="s">
        <v>97</v>
      </c>
      <c r="H10" s="5" t="s">
        <v>98</v>
      </c>
      <c r="I10" s="5" t="s">
        <v>99</v>
      </c>
      <c r="J10" s="5" t="s">
        <v>100</v>
      </c>
    </row>
    <row r="11" spans="1:10" ht="45" customHeight="1" x14ac:dyDescent="0.35">
      <c r="A11" s="8" t="s">
        <v>101</v>
      </c>
      <c r="B11" s="8" t="s">
        <v>102</v>
      </c>
      <c r="C11" s="3" t="s">
        <v>103</v>
      </c>
      <c r="D11" s="3" t="s">
        <v>104</v>
      </c>
      <c r="E11" s="3" t="s">
        <v>105</v>
      </c>
      <c r="F11" s="3" t="s">
        <v>106</v>
      </c>
      <c r="G11" s="3" t="s">
        <v>107</v>
      </c>
      <c r="H11" s="3" t="s">
        <v>108</v>
      </c>
      <c r="I11" s="3" t="s">
        <v>109</v>
      </c>
      <c r="J11" s="3" t="s">
        <v>110</v>
      </c>
    </row>
    <row r="12" spans="1:10" ht="45" customHeight="1" x14ac:dyDescent="0.35">
      <c r="A12" s="8" t="s">
        <v>101</v>
      </c>
      <c r="B12" s="8" t="s">
        <v>102</v>
      </c>
      <c r="C12" s="5" t="s">
        <v>103</v>
      </c>
      <c r="D12" s="5" t="s">
        <v>104</v>
      </c>
      <c r="E12" s="5" t="s">
        <v>111</v>
      </c>
      <c r="F12" s="5" t="s">
        <v>112</v>
      </c>
      <c r="G12" s="5" t="s">
        <v>113</v>
      </c>
      <c r="H12" s="5" t="s">
        <v>114</v>
      </c>
      <c r="I12" s="5" t="s">
        <v>115</v>
      </c>
      <c r="J12" s="5" t="s">
        <v>116</v>
      </c>
    </row>
    <row r="13" spans="1:10" ht="45" customHeight="1" x14ac:dyDescent="0.35">
      <c r="A13" s="8" t="s">
        <v>101</v>
      </c>
      <c r="B13" s="8" t="s">
        <v>102</v>
      </c>
      <c r="C13" s="3" t="s">
        <v>117</v>
      </c>
      <c r="D13" s="3" t="s">
        <v>118</v>
      </c>
      <c r="E13" s="3" t="s">
        <v>119</v>
      </c>
      <c r="F13" s="3" t="s">
        <v>120</v>
      </c>
      <c r="G13" s="3" t="s">
        <v>121</v>
      </c>
      <c r="H13" s="3" t="s">
        <v>122</v>
      </c>
      <c r="I13" s="3" t="s">
        <v>123</v>
      </c>
      <c r="J13" s="3" t="s">
        <v>124</v>
      </c>
    </row>
    <row r="14" spans="1:10" ht="45" customHeight="1" x14ac:dyDescent="0.35">
      <c r="A14" s="8" t="s">
        <v>101</v>
      </c>
      <c r="B14" s="8" t="s">
        <v>102</v>
      </c>
      <c r="C14" s="5" t="s">
        <v>117</v>
      </c>
      <c r="D14" s="5" t="s">
        <v>118</v>
      </c>
      <c r="E14" s="5" t="s">
        <v>125</v>
      </c>
      <c r="F14" s="5" t="s">
        <v>126</v>
      </c>
      <c r="G14" s="5" t="s">
        <v>127</v>
      </c>
      <c r="H14" s="5" t="s">
        <v>128</v>
      </c>
      <c r="I14" s="5" t="s">
        <v>129</v>
      </c>
      <c r="J14" s="5" t="s">
        <v>130</v>
      </c>
    </row>
    <row r="15" spans="1:10" ht="45" customHeight="1" x14ac:dyDescent="0.35">
      <c r="A15" s="9" t="s">
        <v>131</v>
      </c>
      <c r="B15" s="9" t="s">
        <v>132</v>
      </c>
      <c r="C15" s="3" t="s">
        <v>133</v>
      </c>
      <c r="D15" s="3" t="s">
        <v>134</v>
      </c>
      <c r="E15" s="3" t="s">
        <v>135</v>
      </c>
      <c r="F15" s="3" t="s">
        <v>136</v>
      </c>
      <c r="G15" s="3" t="s">
        <v>137</v>
      </c>
      <c r="H15" s="3" t="s">
        <v>138</v>
      </c>
      <c r="I15" s="3" t="s">
        <v>139</v>
      </c>
      <c r="J15" s="3" t="s">
        <v>140</v>
      </c>
    </row>
    <row r="16" spans="1:10" ht="45" customHeight="1" x14ac:dyDescent="0.35">
      <c r="A16" s="9" t="s">
        <v>131</v>
      </c>
      <c r="B16" s="9" t="s">
        <v>132</v>
      </c>
      <c r="C16" s="5" t="s">
        <v>133</v>
      </c>
      <c r="D16" s="5" t="s">
        <v>134</v>
      </c>
      <c r="E16" s="5" t="s">
        <v>141</v>
      </c>
      <c r="F16" s="5" t="s">
        <v>142</v>
      </c>
      <c r="G16" s="5" t="s">
        <v>143</v>
      </c>
      <c r="H16" s="5" t="s">
        <v>144</v>
      </c>
      <c r="I16" s="5" t="s">
        <v>145</v>
      </c>
      <c r="J16" s="5" t="s">
        <v>146</v>
      </c>
    </row>
    <row r="17" spans="1:10" ht="45" customHeight="1" x14ac:dyDescent="0.35">
      <c r="A17" s="9" t="s">
        <v>131</v>
      </c>
      <c r="B17" s="9" t="s">
        <v>132</v>
      </c>
      <c r="C17" s="3" t="s">
        <v>147</v>
      </c>
      <c r="D17" s="3" t="s">
        <v>148</v>
      </c>
      <c r="E17" s="3" t="s">
        <v>149</v>
      </c>
      <c r="F17" s="3" t="s">
        <v>150</v>
      </c>
      <c r="G17" s="3" t="s">
        <v>151</v>
      </c>
      <c r="H17" s="3" t="s">
        <v>152</v>
      </c>
      <c r="I17" s="3" t="s">
        <v>153</v>
      </c>
      <c r="J17" s="3" t="s">
        <v>154</v>
      </c>
    </row>
    <row r="18" spans="1:10" ht="45" customHeight="1" x14ac:dyDescent="0.35">
      <c r="A18" s="9" t="s">
        <v>131</v>
      </c>
      <c r="B18" s="9" t="s">
        <v>132</v>
      </c>
      <c r="C18" s="5" t="s">
        <v>147</v>
      </c>
      <c r="D18" s="5" t="s">
        <v>148</v>
      </c>
      <c r="E18" s="5" t="s">
        <v>155</v>
      </c>
      <c r="F18" s="5" t="s">
        <v>156</v>
      </c>
      <c r="G18" s="5" t="s">
        <v>157</v>
      </c>
      <c r="H18" s="5" t="s">
        <v>158</v>
      </c>
      <c r="I18" s="5" t="s">
        <v>159</v>
      </c>
      <c r="J18" s="5" t="s">
        <v>160</v>
      </c>
    </row>
    <row r="19" spans="1:10" ht="45" customHeight="1" x14ac:dyDescent="0.35">
      <c r="A19" s="10" t="s">
        <v>161</v>
      </c>
      <c r="B19" s="10" t="s">
        <v>162</v>
      </c>
      <c r="C19" s="3" t="s">
        <v>163</v>
      </c>
      <c r="D19" s="3" t="s">
        <v>164</v>
      </c>
      <c r="E19" s="3" t="s">
        <v>165</v>
      </c>
      <c r="F19" s="3" t="s">
        <v>166</v>
      </c>
      <c r="G19" s="3" t="s">
        <v>167</v>
      </c>
      <c r="H19" s="3" t="s">
        <v>168</v>
      </c>
      <c r="I19" s="3" t="s">
        <v>169</v>
      </c>
      <c r="J19" s="3" t="s">
        <v>170</v>
      </c>
    </row>
    <row r="20" spans="1:10" ht="45" customHeight="1" x14ac:dyDescent="0.35">
      <c r="A20" s="10" t="s">
        <v>161</v>
      </c>
      <c r="B20" s="10" t="s">
        <v>162</v>
      </c>
      <c r="C20" s="5" t="s">
        <v>163</v>
      </c>
      <c r="D20" s="5" t="s">
        <v>164</v>
      </c>
      <c r="E20" s="5" t="s">
        <v>171</v>
      </c>
      <c r="F20" s="5" t="s">
        <v>172</v>
      </c>
      <c r="G20" s="5" t="s">
        <v>173</v>
      </c>
      <c r="H20" s="5" t="s">
        <v>174</v>
      </c>
      <c r="I20" s="5" t="s">
        <v>175</v>
      </c>
      <c r="J20" s="5" t="s">
        <v>176</v>
      </c>
    </row>
    <row r="21" spans="1:10" ht="45" customHeight="1" x14ac:dyDescent="0.35">
      <c r="A21" s="10" t="s">
        <v>161</v>
      </c>
      <c r="B21" s="10" t="s">
        <v>162</v>
      </c>
      <c r="C21" s="3" t="s">
        <v>177</v>
      </c>
      <c r="D21" s="3" t="s">
        <v>178</v>
      </c>
      <c r="E21" s="3" t="s">
        <v>179</v>
      </c>
      <c r="F21" s="3" t="s">
        <v>180</v>
      </c>
      <c r="G21" s="3" t="s">
        <v>181</v>
      </c>
      <c r="H21" s="3" t="s">
        <v>182</v>
      </c>
      <c r="I21" s="3" t="s">
        <v>183</v>
      </c>
      <c r="J21" s="3" t="s">
        <v>184</v>
      </c>
    </row>
    <row r="22" spans="1:10" ht="45" customHeight="1" x14ac:dyDescent="0.35">
      <c r="A22" s="10" t="s">
        <v>161</v>
      </c>
      <c r="B22" s="10" t="s">
        <v>162</v>
      </c>
      <c r="C22" s="5" t="s">
        <v>177</v>
      </c>
      <c r="D22" s="5" t="s">
        <v>178</v>
      </c>
      <c r="E22" s="5" t="s">
        <v>185</v>
      </c>
      <c r="F22" s="5" t="s">
        <v>186</v>
      </c>
      <c r="G22" s="5" t="s">
        <v>187</v>
      </c>
      <c r="H22" s="5" t="s">
        <v>188</v>
      </c>
      <c r="I22" s="5" t="s">
        <v>189</v>
      </c>
      <c r="J22" s="5" t="s">
        <v>190</v>
      </c>
    </row>
  </sheetData>
  <autoFilter ref="A2:J2" xr:uid="{00000000-0009-0000-0000-000002000000}"/>
  <mergeCells count="1">
    <mergeCell ref="A1:J1"/>
  </mergeCells>
  <pageMargins left="0.75" right="0.75" top="1" bottom="1" header="0.511811023622047" footer="0.511811023622047"/>
  <pageSetup paperSize="9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375623"/>
  </sheetPr>
  <dimension ref="A1:E8"/>
  <sheetViews>
    <sheetView showGridLines="0" topLeftCell="B1" zoomScale="77" zoomScaleNormal="100" workbookViewId="0">
      <pane ySplit="2" topLeftCell="A4" activePane="bottomLeft" state="frozen"/>
      <selection pane="bottomLeft" activeCell="D9" sqref="D9"/>
    </sheetView>
  </sheetViews>
  <sheetFormatPr baseColWidth="10" defaultColWidth="8.6328125" defaultRowHeight="14.5" x14ac:dyDescent="0.35"/>
  <cols>
    <col min="1" max="1" width="8" customWidth="1"/>
    <col min="2" max="2" width="22" customWidth="1"/>
    <col min="3" max="5" width="65" customWidth="1"/>
  </cols>
  <sheetData>
    <row r="1" spans="1:5" ht="21.75" customHeight="1" x14ac:dyDescent="0.35">
      <c r="A1" s="37" t="s">
        <v>191</v>
      </c>
      <c r="B1" s="36"/>
      <c r="C1" s="36"/>
      <c r="D1" s="36"/>
      <c r="E1" s="36"/>
    </row>
    <row r="2" spans="1:5" ht="15" customHeight="1" x14ac:dyDescent="0.35">
      <c r="A2" s="1" t="s">
        <v>192</v>
      </c>
      <c r="B2" s="1" t="s">
        <v>193</v>
      </c>
      <c r="C2" s="1" t="s">
        <v>194</v>
      </c>
      <c r="D2" s="1" t="s">
        <v>195</v>
      </c>
      <c r="E2" s="1" t="s">
        <v>196</v>
      </c>
    </row>
    <row r="3" spans="1:5" ht="54.75" customHeight="1" x14ac:dyDescent="0.35">
      <c r="A3" s="11">
        <v>0</v>
      </c>
      <c r="B3" s="11" t="s">
        <v>2880</v>
      </c>
      <c r="C3" s="12" t="s">
        <v>198</v>
      </c>
      <c r="D3" s="12" t="s">
        <v>199</v>
      </c>
      <c r="E3" s="12" t="s">
        <v>200</v>
      </c>
    </row>
    <row r="4" spans="1:5" ht="54.75" customHeight="1" x14ac:dyDescent="0.35">
      <c r="A4" s="13">
        <v>1</v>
      </c>
      <c r="B4" s="13" t="s">
        <v>2881</v>
      </c>
      <c r="C4" s="6" t="s">
        <v>202</v>
      </c>
      <c r="D4" s="6" t="s">
        <v>203</v>
      </c>
      <c r="E4" s="6" t="s">
        <v>204</v>
      </c>
    </row>
    <row r="5" spans="1:5" ht="54.75" customHeight="1" x14ac:dyDescent="0.35">
      <c r="A5" s="14">
        <v>2</v>
      </c>
      <c r="B5" s="14" t="s">
        <v>2882</v>
      </c>
      <c r="C5" s="15" t="s">
        <v>206</v>
      </c>
      <c r="D5" s="15" t="s">
        <v>207</v>
      </c>
      <c r="E5" s="15" t="s">
        <v>208</v>
      </c>
    </row>
    <row r="6" spans="1:5" ht="54.75" customHeight="1" x14ac:dyDescent="0.35">
      <c r="A6" s="16">
        <v>3</v>
      </c>
      <c r="B6" s="16" t="s">
        <v>2883</v>
      </c>
      <c r="C6" s="17" t="s">
        <v>210</v>
      </c>
      <c r="D6" s="17" t="s">
        <v>211</v>
      </c>
      <c r="E6" s="17" t="s">
        <v>212</v>
      </c>
    </row>
    <row r="7" spans="1:5" ht="54.75" customHeight="1" x14ac:dyDescent="0.35">
      <c r="A7" s="18">
        <v>4</v>
      </c>
      <c r="B7" s="18" t="s">
        <v>2884</v>
      </c>
      <c r="C7" s="19" t="s">
        <v>214</v>
      </c>
      <c r="D7" s="19" t="s">
        <v>215</v>
      </c>
      <c r="E7" s="19" t="s">
        <v>216</v>
      </c>
    </row>
    <row r="8" spans="1:5" ht="54.75" customHeight="1" x14ac:dyDescent="0.35">
      <c r="A8" s="20">
        <v>5</v>
      </c>
      <c r="B8" s="20" t="s">
        <v>2885</v>
      </c>
      <c r="C8" s="21" t="s">
        <v>218</v>
      </c>
      <c r="D8" s="21" t="s">
        <v>219</v>
      </c>
      <c r="E8" s="21" t="s">
        <v>220</v>
      </c>
    </row>
  </sheetData>
  <mergeCells count="1">
    <mergeCell ref="A1:E1"/>
  </mergeCells>
  <pageMargins left="0.75" right="0.75" top="1" bottom="1" header="0.511811023622047" footer="0.511811023622047"/>
  <pageSetup paperSize="9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375623"/>
  </sheetPr>
  <dimension ref="A1:L62"/>
  <sheetViews>
    <sheetView showGridLines="0" zoomScale="19" zoomScaleNormal="100" workbookViewId="0">
      <pane ySplit="2" topLeftCell="A37" activePane="bottomLeft" state="frozen"/>
      <selection pane="bottomLeft" activeCell="X53" sqref="X53"/>
    </sheetView>
  </sheetViews>
  <sheetFormatPr baseColWidth="10" defaultColWidth="8.6328125" defaultRowHeight="14.5" x14ac:dyDescent="0.35"/>
  <cols>
    <col min="1" max="1" width="10" customWidth="1"/>
    <col min="2" max="2" width="28" customWidth="1"/>
    <col min="3" max="3" width="8" customWidth="1"/>
    <col min="4" max="4" width="6" customWidth="1"/>
    <col min="5" max="5" width="22" customWidth="1"/>
    <col min="6" max="6" width="60" customWidth="1"/>
    <col min="7" max="11" width="45" customWidth="1"/>
    <col min="12" max="12" width="35" customWidth="1"/>
  </cols>
  <sheetData>
    <row r="1" spans="1:12" ht="21.75" customHeight="1" x14ac:dyDescent="0.35">
      <c r="A1" s="37" t="s">
        <v>221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</row>
    <row r="2" spans="1:12" ht="21.75" customHeight="1" x14ac:dyDescent="0.35">
      <c r="A2" s="1" t="s">
        <v>33</v>
      </c>
      <c r="B2" s="1" t="s">
        <v>34</v>
      </c>
      <c r="C2" s="1" t="s">
        <v>31</v>
      </c>
      <c r="D2" s="1" t="s">
        <v>192</v>
      </c>
      <c r="E2" s="1" t="s">
        <v>193</v>
      </c>
      <c r="F2" s="1" t="s">
        <v>222</v>
      </c>
      <c r="G2" s="1" t="s">
        <v>223</v>
      </c>
      <c r="H2" s="1" t="s">
        <v>224</v>
      </c>
      <c r="I2" s="1" t="s">
        <v>225</v>
      </c>
      <c r="J2" s="1" t="s">
        <v>226</v>
      </c>
      <c r="K2" s="1" t="s">
        <v>227</v>
      </c>
      <c r="L2" s="1" t="s">
        <v>228</v>
      </c>
    </row>
    <row r="3" spans="1:12" ht="54.75" customHeight="1" x14ac:dyDescent="0.35">
      <c r="A3" s="22" t="s">
        <v>43</v>
      </c>
      <c r="B3" s="22" t="s">
        <v>44</v>
      </c>
      <c r="C3" s="22" t="s">
        <v>41</v>
      </c>
      <c r="D3" s="22">
        <v>0</v>
      </c>
      <c r="E3" s="11" t="s">
        <v>2880</v>
      </c>
      <c r="F3" s="23" t="s">
        <v>229</v>
      </c>
      <c r="G3" s="23" t="s">
        <v>230</v>
      </c>
      <c r="H3" s="23" t="s">
        <v>231</v>
      </c>
      <c r="I3" s="23" t="s">
        <v>232</v>
      </c>
      <c r="J3" s="23" t="s">
        <v>233</v>
      </c>
      <c r="K3" s="23" t="s">
        <v>234</v>
      </c>
      <c r="L3" s="23" t="s">
        <v>235</v>
      </c>
    </row>
    <row r="4" spans="1:12" ht="54.75" customHeight="1" x14ac:dyDescent="0.35">
      <c r="A4" s="24" t="s">
        <v>43</v>
      </c>
      <c r="B4" s="24" t="s">
        <v>44</v>
      </c>
      <c r="C4" s="24" t="s">
        <v>41</v>
      </c>
      <c r="D4" s="24">
        <v>1</v>
      </c>
      <c r="E4" s="13" t="s">
        <v>2881</v>
      </c>
      <c r="F4" s="3" t="s">
        <v>236</v>
      </c>
      <c r="G4" s="3" t="s">
        <v>237</v>
      </c>
      <c r="H4" s="3" t="s">
        <v>238</v>
      </c>
      <c r="I4" s="3" t="s">
        <v>239</v>
      </c>
      <c r="J4" s="3" t="s">
        <v>240</v>
      </c>
      <c r="K4" s="3" t="s">
        <v>241</v>
      </c>
      <c r="L4" s="3" t="s">
        <v>242</v>
      </c>
    </row>
    <row r="5" spans="1:12" ht="54.75" customHeight="1" x14ac:dyDescent="0.35">
      <c r="A5" s="25" t="s">
        <v>43</v>
      </c>
      <c r="B5" s="25" t="s">
        <v>44</v>
      </c>
      <c r="C5" s="25" t="s">
        <v>41</v>
      </c>
      <c r="D5" s="25">
        <v>2</v>
      </c>
      <c r="E5" s="14" t="s">
        <v>2882</v>
      </c>
      <c r="F5" s="23" t="s">
        <v>243</v>
      </c>
      <c r="G5" s="23" t="s">
        <v>244</v>
      </c>
      <c r="H5" s="23" t="s">
        <v>245</v>
      </c>
      <c r="I5" s="23" t="s">
        <v>246</v>
      </c>
      <c r="J5" s="23" t="s">
        <v>247</v>
      </c>
      <c r="K5" s="23" t="s">
        <v>248</v>
      </c>
      <c r="L5" s="23" t="s">
        <v>249</v>
      </c>
    </row>
    <row r="6" spans="1:12" ht="54.75" customHeight="1" x14ac:dyDescent="0.35">
      <c r="A6" s="26" t="s">
        <v>43</v>
      </c>
      <c r="B6" s="26" t="s">
        <v>44</v>
      </c>
      <c r="C6" s="26" t="s">
        <v>41</v>
      </c>
      <c r="D6" s="26">
        <v>3</v>
      </c>
      <c r="E6" s="16" t="s">
        <v>2883</v>
      </c>
      <c r="F6" s="3" t="s">
        <v>250</v>
      </c>
      <c r="G6" s="3" t="s">
        <v>251</v>
      </c>
      <c r="H6" s="3" t="s">
        <v>252</v>
      </c>
      <c r="I6" s="3" t="s">
        <v>253</v>
      </c>
      <c r="J6" s="3" t="s">
        <v>254</v>
      </c>
      <c r="K6" s="3" t="s">
        <v>255</v>
      </c>
      <c r="L6" s="3" t="s">
        <v>256</v>
      </c>
    </row>
    <row r="7" spans="1:12" ht="54.75" customHeight="1" x14ac:dyDescent="0.35">
      <c r="A7" s="27" t="s">
        <v>43</v>
      </c>
      <c r="B7" s="27" t="s">
        <v>44</v>
      </c>
      <c r="C7" s="27" t="s">
        <v>41</v>
      </c>
      <c r="D7" s="27">
        <v>4</v>
      </c>
      <c r="E7" s="18" t="s">
        <v>2884</v>
      </c>
      <c r="F7" s="23" t="s">
        <v>257</v>
      </c>
      <c r="G7" s="23" t="s">
        <v>258</v>
      </c>
      <c r="H7" s="23" t="s">
        <v>259</v>
      </c>
      <c r="I7" s="23" t="s">
        <v>260</v>
      </c>
      <c r="J7" s="23" t="s">
        <v>261</v>
      </c>
      <c r="K7" s="23" t="s">
        <v>262</v>
      </c>
      <c r="L7" s="23" t="s">
        <v>263</v>
      </c>
    </row>
    <row r="8" spans="1:12" ht="54.75" customHeight="1" x14ac:dyDescent="0.35">
      <c r="A8" s="28" t="s">
        <v>43</v>
      </c>
      <c r="B8" s="28" t="s">
        <v>44</v>
      </c>
      <c r="C8" s="28" t="s">
        <v>41</v>
      </c>
      <c r="D8" s="28">
        <v>5</v>
      </c>
      <c r="E8" s="20" t="s">
        <v>2885</v>
      </c>
      <c r="F8" s="3" t="s">
        <v>264</v>
      </c>
      <c r="G8" s="3" t="s">
        <v>265</v>
      </c>
      <c r="H8" s="3" t="s">
        <v>266</v>
      </c>
      <c r="I8" s="3" t="s">
        <v>267</v>
      </c>
      <c r="J8" s="3" t="s">
        <v>268</v>
      </c>
      <c r="K8" s="3"/>
      <c r="L8" s="3" t="s">
        <v>269</v>
      </c>
    </row>
    <row r="9" spans="1:12" ht="54.75" customHeight="1" x14ac:dyDescent="0.35">
      <c r="A9" s="22" t="s">
        <v>57</v>
      </c>
      <c r="B9" s="22" t="s">
        <v>58</v>
      </c>
      <c r="C9" s="22" t="s">
        <v>41</v>
      </c>
      <c r="D9" s="22">
        <v>0</v>
      </c>
      <c r="E9" s="11" t="s">
        <v>2880</v>
      </c>
      <c r="F9" s="23" t="s">
        <v>270</v>
      </c>
      <c r="G9" s="23" t="s">
        <v>230</v>
      </c>
      <c r="H9" s="23" t="s">
        <v>271</v>
      </c>
      <c r="I9" s="23" t="s">
        <v>272</v>
      </c>
      <c r="J9" s="23" t="s">
        <v>273</v>
      </c>
      <c r="K9" s="23" t="s">
        <v>274</v>
      </c>
      <c r="L9" s="23" t="s">
        <v>235</v>
      </c>
    </row>
    <row r="10" spans="1:12" ht="54.75" customHeight="1" x14ac:dyDescent="0.35">
      <c r="A10" s="24" t="s">
        <v>57</v>
      </c>
      <c r="B10" s="24" t="s">
        <v>58</v>
      </c>
      <c r="C10" s="24" t="s">
        <v>41</v>
      </c>
      <c r="D10" s="24">
        <v>1</v>
      </c>
      <c r="E10" s="13" t="s">
        <v>2881</v>
      </c>
      <c r="F10" s="3" t="s">
        <v>275</v>
      </c>
      <c r="G10" s="3" t="s">
        <v>276</v>
      </c>
      <c r="H10" s="3" t="s">
        <v>277</v>
      </c>
      <c r="I10" s="3" t="s">
        <v>278</v>
      </c>
      <c r="J10" s="3" t="s">
        <v>279</v>
      </c>
      <c r="K10" s="3" t="s">
        <v>280</v>
      </c>
      <c r="L10" s="3" t="s">
        <v>281</v>
      </c>
    </row>
    <row r="11" spans="1:12" ht="54.75" customHeight="1" x14ac:dyDescent="0.35">
      <c r="A11" s="25" t="s">
        <v>57</v>
      </c>
      <c r="B11" s="25" t="s">
        <v>58</v>
      </c>
      <c r="C11" s="25" t="s">
        <v>41</v>
      </c>
      <c r="D11" s="25">
        <v>2</v>
      </c>
      <c r="E11" s="14" t="s">
        <v>2882</v>
      </c>
      <c r="F11" s="23" t="s">
        <v>282</v>
      </c>
      <c r="G11" s="23" t="s">
        <v>283</v>
      </c>
      <c r="H11" s="23" t="s">
        <v>284</v>
      </c>
      <c r="I11" s="23" t="s">
        <v>285</v>
      </c>
      <c r="J11" s="23" t="s">
        <v>286</v>
      </c>
      <c r="K11" s="23" t="s">
        <v>287</v>
      </c>
      <c r="L11" s="23" t="s">
        <v>288</v>
      </c>
    </row>
    <row r="12" spans="1:12" ht="54.75" customHeight="1" x14ac:dyDescent="0.35">
      <c r="A12" s="26" t="s">
        <v>57</v>
      </c>
      <c r="B12" s="26" t="s">
        <v>58</v>
      </c>
      <c r="C12" s="26" t="s">
        <v>41</v>
      </c>
      <c r="D12" s="26">
        <v>3</v>
      </c>
      <c r="E12" s="16" t="s">
        <v>2883</v>
      </c>
      <c r="F12" s="3" t="s">
        <v>289</v>
      </c>
      <c r="G12" s="3" t="s">
        <v>290</v>
      </c>
      <c r="H12" s="3" t="s">
        <v>291</v>
      </c>
      <c r="I12" s="3" t="s">
        <v>292</v>
      </c>
      <c r="J12" s="3" t="s">
        <v>293</v>
      </c>
      <c r="K12" s="3" t="s">
        <v>294</v>
      </c>
      <c r="L12" s="3" t="s">
        <v>256</v>
      </c>
    </row>
    <row r="13" spans="1:12" ht="54.75" customHeight="1" x14ac:dyDescent="0.35">
      <c r="A13" s="27" t="s">
        <v>57</v>
      </c>
      <c r="B13" s="27" t="s">
        <v>58</v>
      </c>
      <c r="C13" s="27" t="s">
        <v>41</v>
      </c>
      <c r="D13" s="27">
        <v>4</v>
      </c>
      <c r="E13" s="18" t="s">
        <v>2884</v>
      </c>
      <c r="F13" s="23" t="s">
        <v>295</v>
      </c>
      <c r="G13" s="23" t="s">
        <v>296</v>
      </c>
      <c r="H13" s="23" t="s">
        <v>297</v>
      </c>
      <c r="I13" s="23" t="s">
        <v>298</v>
      </c>
      <c r="J13" s="23" t="s">
        <v>299</v>
      </c>
      <c r="K13" s="23"/>
      <c r="L13" s="23" t="s">
        <v>300</v>
      </c>
    </row>
    <row r="14" spans="1:12" ht="54.75" customHeight="1" x14ac:dyDescent="0.35">
      <c r="A14" s="28" t="s">
        <v>57</v>
      </c>
      <c r="B14" s="28" t="s">
        <v>58</v>
      </c>
      <c r="C14" s="28" t="s">
        <v>41</v>
      </c>
      <c r="D14" s="28">
        <v>5</v>
      </c>
      <c r="E14" s="20" t="s">
        <v>2885</v>
      </c>
      <c r="F14" s="3" t="s">
        <v>301</v>
      </c>
      <c r="G14" s="3" t="s">
        <v>302</v>
      </c>
      <c r="H14" s="3" t="s">
        <v>303</v>
      </c>
      <c r="I14" s="3" t="s">
        <v>304</v>
      </c>
      <c r="J14" s="3" t="s">
        <v>305</v>
      </c>
      <c r="K14" s="3" t="s">
        <v>230</v>
      </c>
      <c r="L14" s="3" t="s">
        <v>306</v>
      </c>
    </row>
    <row r="15" spans="1:12" ht="54.75" customHeight="1" x14ac:dyDescent="0.35">
      <c r="A15" s="22" t="s">
        <v>73</v>
      </c>
      <c r="B15" s="22" t="s">
        <v>74</v>
      </c>
      <c r="C15" s="22" t="s">
        <v>71</v>
      </c>
      <c r="D15" s="22">
        <v>0</v>
      </c>
      <c r="E15" s="11" t="s">
        <v>2880</v>
      </c>
      <c r="F15" s="23" t="s">
        <v>307</v>
      </c>
      <c r="G15" s="23" t="s">
        <v>230</v>
      </c>
      <c r="H15" s="23" t="s">
        <v>308</v>
      </c>
      <c r="I15" s="23" t="s">
        <v>309</v>
      </c>
      <c r="J15" s="23" t="s">
        <v>310</v>
      </c>
      <c r="K15" s="23" t="s">
        <v>311</v>
      </c>
      <c r="L15" s="23" t="s">
        <v>235</v>
      </c>
    </row>
    <row r="16" spans="1:12" ht="54.75" customHeight="1" x14ac:dyDescent="0.35">
      <c r="A16" s="24" t="s">
        <v>73</v>
      </c>
      <c r="B16" s="24" t="s">
        <v>74</v>
      </c>
      <c r="C16" s="24" t="s">
        <v>71</v>
      </c>
      <c r="D16" s="24">
        <v>1</v>
      </c>
      <c r="E16" s="13" t="s">
        <v>2881</v>
      </c>
      <c r="F16" s="3" t="s">
        <v>312</v>
      </c>
      <c r="G16" s="3" t="s">
        <v>313</v>
      </c>
      <c r="H16" s="3" t="s">
        <v>314</v>
      </c>
      <c r="I16" s="3" t="s">
        <v>315</v>
      </c>
      <c r="J16" s="3" t="s">
        <v>316</v>
      </c>
      <c r="K16" s="3" t="s">
        <v>317</v>
      </c>
      <c r="L16" s="3" t="s">
        <v>318</v>
      </c>
    </row>
    <row r="17" spans="1:12" ht="54.75" customHeight="1" x14ac:dyDescent="0.35">
      <c r="A17" s="25" t="s">
        <v>73</v>
      </c>
      <c r="B17" s="25" t="s">
        <v>74</v>
      </c>
      <c r="C17" s="25" t="s">
        <v>71</v>
      </c>
      <c r="D17" s="25">
        <v>2</v>
      </c>
      <c r="E17" s="14" t="s">
        <v>2882</v>
      </c>
      <c r="F17" s="23" t="s">
        <v>319</v>
      </c>
      <c r="G17" s="23" t="s">
        <v>320</v>
      </c>
      <c r="H17" s="23" t="s">
        <v>321</v>
      </c>
      <c r="I17" s="23" t="s">
        <v>322</v>
      </c>
      <c r="J17" s="23" t="s">
        <v>323</v>
      </c>
      <c r="K17" s="23" t="s">
        <v>324</v>
      </c>
      <c r="L17" s="23" t="s">
        <v>325</v>
      </c>
    </row>
    <row r="18" spans="1:12" ht="54.75" customHeight="1" x14ac:dyDescent="0.35">
      <c r="A18" s="26" t="s">
        <v>73</v>
      </c>
      <c r="B18" s="26" t="s">
        <v>74</v>
      </c>
      <c r="C18" s="26" t="s">
        <v>71</v>
      </c>
      <c r="D18" s="26">
        <v>3</v>
      </c>
      <c r="E18" s="16" t="s">
        <v>2883</v>
      </c>
      <c r="F18" s="3" t="s">
        <v>326</v>
      </c>
      <c r="G18" s="3" t="s">
        <v>327</v>
      </c>
      <c r="H18" s="3" t="s">
        <v>328</v>
      </c>
      <c r="I18" s="3" t="s">
        <v>329</v>
      </c>
      <c r="J18" s="3" t="s">
        <v>330</v>
      </c>
      <c r="K18" s="3" t="s">
        <v>331</v>
      </c>
      <c r="L18" s="3" t="s">
        <v>256</v>
      </c>
    </row>
    <row r="19" spans="1:12" ht="54.75" customHeight="1" x14ac:dyDescent="0.35">
      <c r="A19" s="27" t="s">
        <v>73</v>
      </c>
      <c r="B19" s="27" t="s">
        <v>74</v>
      </c>
      <c r="C19" s="27" t="s">
        <v>71</v>
      </c>
      <c r="D19" s="27">
        <v>4</v>
      </c>
      <c r="E19" s="18" t="s">
        <v>2884</v>
      </c>
      <c r="F19" s="23" t="s">
        <v>332</v>
      </c>
      <c r="G19" s="23" t="s">
        <v>333</v>
      </c>
      <c r="H19" s="23" t="s">
        <v>334</v>
      </c>
      <c r="I19" s="23" t="s">
        <v>335</v>
      </c>
      <c r="J19" s="23" t="s">
        <v>336</v>
      </c>
      <c r="K19" s="23"/>
      <c r="L19" s="23" t="s">
        <v>337</v>
      </c>
    </row>
    <row r="20" spans="1:12" ht="54.75" customHeight="1" x14ac:dyDescent="0.35">
      <c r="A20" s="28" t="s">
        <v>73</v>
      </c>
      <c r="B20" s="28" t="s">
        <v>74</v>
      </c>
      <c r="C20" s="28" t="s">
        <v>71</v>
      </c>
      <c r="D20" s="28">
        <v>5</v>
      </c>
      <c r="E20" s="20" t="s">
        <v>2885</v>
      </c>
      <c r="F20" s="3" t="s">
        <v>338</v>
      </c>
      <c r="G20" s="3" t="s">
        <v>339</v>
      </c>
      <c r="H20" s="3" t="s">
        <v>340</v>
      </c>
      <c r="I20" s="3" t="s">
        <v>341</v>
      </c>
      <c r="J20" s="3" t="s">
        <v>342</v>
      </c>
      <c r="K20" s="3"/>
      <c r="L20" s="3" t="s">
        <v>343</v>
      </c>
    </row>
    <row r="21" spans="1:12" ht="54.75" customHeight="1" x14ac:dyDescent="0.35">
      <c r="A21" s="22" t="s">
        <v>87</v>
      </c>
      <c r="B21" s="22" t="s">
        <v>88</v>
      </c>
      <c r="C21" s="22" t="s">
        <v>71</v>
      </c>
      <c r="D21" s="22">
        <v>0</v>
      </c>
      <c r="E21" s="11" t="s">
        <v>2880</v>
      </c>
      <c r="F21" s="23" t="s">
        <v>344</v>
      </c>
      <c r="G21" s="23" t="s">
        <v>230</v>
      </c>
      <c r="H21" s="23" t="s">
        <v>345</v>
      </c>
      <c r="I21" s="23" t="s">
        <v>346</v>
      </c>
      <c r="J21" s="23" t="s">
        <v>347</v>
      </c>
      <c r="K21" s="23" t="s">
        <v>348</v>
      </c>
      <c r="L21" s="23" t="s">
        <v>235</v>
      </c>
    </row>
    <row r="22" spans="1:12" ht="54.75" customHeight="1" x14ac:dyDescent="0.35">
      <c r="A22" s="24" t="s">
        <v>87</v>
      </c>
      <c r="B22" s="24" t="s">
        <v>88</v>
      </c>
      <c r="C22" s="24" t="s">
        <v>71</v>
      </c>
      <c r="D22" s="24">
        <v>1</v>
      </c>
      <c r="E22" s="13" t="s">
        <v>2881</v>
      </c>
      <c r="F22" s="3" t="s">
        <v>349</v>
      </c>
      <c r="G22" s="3" t="s">
        <v>350</v>
      </c>
      <c r="H22" s="3" t="s">
        <v>351</v>
      </c>
      <c r="I22" s="3" t="s">
        <v>352</v>
      </c>
      <c r="J22" s="3" t="s">
        <v>353</v>
      </c>
      <c r="K22" s="3" t="s">
        <v>354</v>
      </c>
      <c r="L22" s="3" t="s">
        <v>318</v>
      </c>
    </row>
    <row r="23" spans="1:12" ht="54.75" customHeight="1" x14ac:dyDescent="0.35">
      <c r="A23" s="25" t="s">
        <v>87</v>
      </c>
      <c r="B23" s="25" t="s">
        <v>88</v>
      </c>
      <c r="C23" s="25" t="s">
        <v>71</v>
      </c>
      <c r="D23" s="25">
        <v>2</v>
      </c>
      <c r="E23" s="14" t="s">
        <v>2882</v>
      </c>
      <c r="F23" s="23" t="s">
        <v>355</v>
      </c>
      <c r="G23" s="23" t="s">
        <v>356</v>
      </c>
      <c r="H23" s="23" t="s">
        <v>357</v>
      </c>
      <c r="I23" s="23" t="s">
        <v>358</v>
      </c>
      <c r="J23" s="23" t="s">
        <v>359</v>
      </c>
      <c r="K23" s="23" t="s">
        <v>360</v>
      </c>
      <c r="L23" s="23" t="s">
        <v>325</v>
      </c>
    </row>
    <row r="24" spans="1:12" ht="54.75" customHeight="1" x14ac:dyDescent="0.35">
      <c r="A24" s="26" t="s">
        <v>87</v>
      </c>
      <c r="B24" s="26" t="s">
        <v>88</v>
      </c>
      <c r="C24" s="26" t="s">
        <v>71</v>
      </c>
      <c r="D24" s="26">
        <v>3</v>
      </c>
      <c r="E24" s="16" t="s">
        <v>2883</v>
      </c>
      <c r="F24" s="3" t="s">
        <v>361</v>
      </c>
      <c r="G24" s="3" t="s">
        <v>362</v>
      </c>
      <c r="H24" s="3" t="s">
        <v>363</v>
      </c>
      <c r="I24" s="3" t="s">
        <v>364</v>
      </c>
      <c r="J24" s="3" t="s">
        <v>365</v>
      </c>
      <c r="K24" s="3" t="s">
        <v>366</v>
      </c>
      <c r="L24" s="3" t="s">
        <v>367</v>
      </c>
    </row>
    <row r="25" spans="1:12" ht="54.75" customHeight="1" x14ac:dyDescent="0.35">
      <c r="A25" s="27" t="s">
        <v>87</v>
      </c>
      <c r="B25" s="27" t="s">
        <v>88</v>
      </c>
      <c r="C25" s="27" t="s">
        <v>71</v>
      </c>
      <c r="D25" s="27">
        <v>4</v>
      </c>
      <c r="E25" s="18" t="s">
        <v>2884</v>
      </c>
      <c r="F25" s="23" t="s">
        <v>368</v>
      </c>
      <c r="G25" s="23" t="s">
        <v>369</v>
      </c>
      <c r="H25" s="23" t="s">
        <v>370</v>
      </c>
      <c r="I25" s="23" t="s">
        <v>371</v>
      </c>
      <c r="J25" s="23" t="s">
        <v>372</v>
      </c>
      <c r="K25" s="23"/>
      <c r="L25" s="23" t="s">
        <v>373</v>
      </c>
    </row>
    <row r="26" spans="1:12" ht="54.75" customHeight="1" x14ac:dyDescent="0.35">
      <c r="A26" s="28" t="s">
        <v>87</v>
      </c>
      <c r="B26" s="28" t="s">
        <v>88</v>
      </c>
      <c r="C26" s="28" t="s">
        <v>71</v>
      </c>
      <c r="D26" s="28">
        <v>5</v>
      </c>
      <c r="E26" s="20" t="s">
        <v>2885</v>
      </c>
      <c r="F26" s="3" t="s">
        <v>374</v>
      </c>
      <c r="G26" s="3" t="s">
        <v>375</v>
      </c>
      <c r="H26" s="3" t="s">
        <v>376</v>
      </c>
      <c r="I26" s="3" t="s">
        <v>377</v>
      </c>
      <c r="J26" s="3" t="s">
        <v>378</v>
      </c>
      <c r="K26" s="3"/>
      <c r="L26" s="3" t="s">
        <v>343</v>
      </c>
    </row>
    <row r="27" spans="1:12" ht="54.75" customHeight="1" x14ac:dyDescent="0.35">
      <c r="A27" s="22" t="s">
        <v>103</v>
      </c>
      <c r="B27" s="22" t="s">
        <v>104</v>
      </c>
      <c r="C27" s="22" t="s">
        <v>101</v>
      </c>
      <c r="D27" s="22">
        <v>0</v>
      </c>
      <c r="E27" s="11" t="s">
        <v>2880</v>
      </c>
      <c r="F27" s="23" t="s">
        <v>379</v>
      </c>
      <c r="G27" s="23" t="s">
        <v>230</v>
      </c>
      <c r="H27" s="23" t="s">
        <v>380</v>
      </c>
      <c r="I27" s="23" t="s">
        <v>381</v>
      </c>
      <c r="J27" s="23" t="s">
        <v>347</v>
      </c>
      <c r="K27" s="23" t="s">
        <v>382</v>
      </c>
      <c r="L27" s="23" t="s">
        <v>235</v>
      </c>
    </row>
    <row r="28" spans="1:12" ht="54.75" customHeight="1" x14ac:dyDescent="0.35">
      <c r="A28" s="24" t="s">
        <v>103</v>
      </c>
      <c r="B28" s="24" t="s">
        <v>104</v>
      </c>
      <c r="C28" s="24" t="s">
        <v>101</v>
      </c>
      <c r="D28" s="24">
        <v>1</v>
      </c>
      <c r="E28" s="13" t="s">
        <v>2881</v>
      </c>
      <c r="F28" s="3" t="s">
        <v>383</v>
      </c>
      <c r="G28" s="3" t="s">
        <v>384</v>
      </c>
      <c r="H28" s="3" t="s">
        <v>385</v>
      </c>
      <c r="I28" s="3" t="s">
        <v>386</v>
      </c>
      <c r="J28" s="3" t="s">
        <v>387</v>
      </c>
      <c r="K28" s="3" t="s">
        <v>388</v>
      </c>
      <c r="L28" s="3" t="s">
        <v>318</v>
      </c>
    </row>
    <row r="29" spans="1:12" ht="54.75" customHeight="1" x14ac:dyDescent="0.35">
      <c r="A29" s="25" t="s">
        <v>103</v>
      </c>
      <c r="B29" s="25" t="s">
        <v>104</v>
      </c>
      <c r="C29" s="25" t="s">
        <v>101</v>
      </c>
      <c r="D29" s="25">
        <v>2</v>
      </c>
      <c r="E29" s="14" t="s">
        <v>2882</v>
      </c>
      <c r="F29" s="23" t="s">
        <v>389</v>
      </c>
      <c r="G29" s="23" t="s">
        <v>390</v>
      </c>
      <c r="H29" s="23" t="s">
        <v>391</v>
      </c>
      <c r="I29" s="23" t="s">
        <v>392</v>
      </c>
      <c r="J29" s="23" t="s">
        <v>393</v>
      </c>
      <c r="K29" s="23" t="s">
        <v>394</v>
      </c>
      <c r="L29" s="23" t="s">
        <v>325</v>
      </c>
    </row>
    <row r="30" spans="1:12" ht="54.75" customHeight="1" x14ac:dyDescent="0.35">
      <c r="A30" s="26" t="s">
        <v>103</v>
      </c>
      <c r="B30" s="26" t="s">
        <v>104</v>
      </c>
      <c r="C30" s="26" t="s">
        <v>101</v>
      </c>
      <c r="D30" s="26">
        <v>3</v>
      </c>
      <c r="E30" s="16" t="s">
        <v>2883</v>
      </c>
      <c r="F30" s="3" t="s">
        <v>395</v>
      </c>
      <c r="G30" s="3" t="s">
        <v>396</v>
      </c>
      <c r="H30" s="3" t="s">
        <v>397</v>
      </c>
      <c r="I30" s="3" t="s">
        <v>398</v>
      </c>
      <c r="J30" s="3" t="s">
        <v>399</v>
      </c>
      <c r="K30" s="3" t="s">
        <v>400</v>
      </c>
      <c r="L30" s="3" t="s">
        <v>367</v>
      </c>
    </row>
    <row r="31" spans="1:12" ht="54.75" customHeight="1" x14ac:dyDescent="0.35">
      <c r="A31" s="27" t="s">
        <v>103</v>
      </c>
      <c r="B31" s="27" t="s">
        <v>104</v>
      </c>
      <c r="C31" s="27" t="s">
        <v>101</v>
      </c>
      <c r="D31" s="27">
        <v>4</v>
      </c>
      <c r="E31" s="18" t="s">
        <v>2884</v>
      </c>
      <c r="F31" s="23" t="s">
        <v>401</v>
      </c>
      <c r="G31" s="23" t="s">
        <v>402</v>
      </c>
      <c r="H31" s="23" t="s">
        <v>403</v>
      </c>
      <c r="I31" s="23" t="s">
        <v>404</v>
      </c>
      <c r="J31" s="23" t="s">
        <v>405</v>
      </c>
      <c r="K31" s="23"/>
      <c r="L31" s="23" t="s">
        <v>406</v>
      </c>
    </row>
    <row r="32" spans="1:12" ht="54.75" customHeight="1" x14ac:dyDescent="0.35">
      <c r="A32" s="28" t="s">
        <v>103</v>
      </c>
      <c r="B32" s="28" t="s">
        <v>104</v>
      </c>
      <c r="C32" s="28" t="s">
        <v>101</v>
      </c>
      <c r="D32" s="28">
        <v>5</v>
      </c>
      <c r="E32" s="20" t="s">
        <v>2885</v>
      </c>
      <c r="F32" s="3" t="s">
        <v>407</v>
      </c>
      <c r="G32" s="3" t="s">
        <v>408</v>
      </c>
      <c r="H32" s="3" t="s">
        <v>409</v>
      </c>
      <c r="I32" s="3" t="s">
        <v>410</v>
      </c>
      <c r="J32" s="3" t="s">
        <v>411</v>
      </c>
      <c r="K32" s="3"/>
      <c r="L32" s="3" t="s">
        <v>343</v>
      </c>
    </row>
    <row r="33" spans="1:12" ht="54.75" customHeight="1" x14ac:dyDescent="0.35">
      <c r="A33" s="22" t="s">
        <v>117</v>
      </c>
      <c r="B33" s="22" t="s">
        <v>118</v>
      </c>
      <c r="C33" s="22" t="s">
        <v>101</v>
      </c>
      <c r="D33" s="22">
        <v>0</v>
      </c>
      <c r="E33" s="11" t="s">
        <v>2880</v>
      </c>
      <c r="F33" s="23" t="s">
        <v>412</v>
      </c>
      <c r="G33" s="23" t="s">
        <v>230</v>
      </c>
      <c r="H33" s="23" t="s">
        <v>413</v>
      </c>
      <c r="I33" s="23" t="s">
        <v>414</v>
      </c>
      <c r="J33" s="23" t="s">
        <v>347</v>
      </c>
      <c r="K33" s="23" t="s">
        <v>415</v>
      </c>
      <c r="L33" s="23" t="s">
        <v>235</v>
      </c>
    </row>
    <row r="34" spans="1:12" ht="54.75" customHeight="1" x14ac:dyDescent="0.35">
      <c r="A34" s="24" t="s">
        <v>117</v>
      </c>
      <c r="B34" s="24" t="s">
        <v>118</v>
      </c>
      <c r="C34" s="24" t="s">
        <v>101</v>
      </c>
      <c r="D34" s="24">
        <v>1</v>
      </c>
      <c r="E34" s="13" t="s">
        <v>2881</v>
      </c>
      <c r="F34" s="3" t="s">
        <v>416</v>
      </c>
      <c r="G34" s="3" t="s">
        <v>417</v>
      </c>
      <c r="H34" s="3" t="s">
        <v>418</v>
      </c>
      <c r="I34" s="3" t="s">
        <v>419</v>
      </c>
      <c r="J34" s="3" t="s">
        <v>420</v>
      </c>
      <c r="K34" s="3" t="s">
        <v>421</v>
      </c>
      <c r="L34" s="3" t="s">
        <v>318</v>
      </c>
    </row>
    <row r="35" spans="1:12" ht="54.75" customHeight="1" x14ac:dyDescent="0.35">
      <c r="A35" s="25" t="s">
        <v>117</v>
      </c>
      <c r="B35" s="25" t="s">
        <v>118</v>
      </c>
      <c r="C35" s="25" t="s">
        <v>101</v>
      </c>
      <c r="D35" s="25">
        <v>2</v>
      </c>
      <c r="E35" s="14" t="s">
        <v>2882</v>
      </c>
      <c r="F35" s="23" t="s">
        <v>422</v>
      </c>
      <c r="G35" s="23" t="s">
        <v>423</v>
      </c>
      <c r="H35" s="23" t="s">
        <v>424</v>
      </c>
      <c r="I35" s="23" t="s">
        <v>425</v>
      </c>
      <c r="J35" s="23" t="s">
        <v>426</v>
      </c>
      <c r="K35" s="23" t="s">
        <v>427</v>
      </c>
      <c r="L35" s="23" t="s">
        <v>325</v>
      </c>
    </row>
    <row r="36" spans="1:12" ht="54.75" customHeight="1" x14ac:dyDescent="0.35">
      <c r="A36" s="26" t="s">
        <v>117</v>
      </c>
      <c r="B36" s="26" t="s">
        <v>118</v>
      </c>
      <c r="C36" s="26" t="s">
        <v>101</v>
      </c>
      <c r="D36" s="26">
        <v>3</v>
      </c>
      <c r="E36" s="16" t="s">
        <v>2883</v>
      </c>
      <c r="F36" s="3" t="s">
        <v>428</v>
      </c>
      <c r="G36" s="3" t="s">
        <v>429</v>
      </c>
      <c r="H36" s="3" t="s">
        <v>430</v>
      </c>
      <c r="I36" s="3" t="s">
        <v>431</v>
      </c>
      <c r="J36" s="3" t="s">
        <v>432</v>
      </c>
      <c r="K36" s="3" t="s">
        <v>433</v>
      </c>
      <c r="L36" s="3" t="s">
        <v>367</v>
      </c>
    </row>
    <row r="37" spans="1:12" ht="54.75" customHeight="1" x14ac:dyDescent="0.35">
      <c r="A37" s="27" t="s">
        <v>117</v>
      </c>
      <c r="B37" s="27" t="s">
        <v>118</v>
      </c>
      <c r="C37" s="27" t="s">
        <v>101</v>
      </c>
      <c r="D37" s="27">
        <v>4</v>
      </c>
      <c r="E37" s="18" t="s">
        <v>2884</v>
      </c>
      <c r="F37" s="23" t="s">
        <v>434</v>
      </c>
      <c r="G37" s="23" t="s">
        <v>435</v>
      </c>
      <c r="H37" s="23" t="s">
        <v>436</v>
      </c>
      <c r="I37" s="23" t="s">
        <v>437</v>
      </c>
      <c r="J37" s="23" t="s">
        <v>438</v>
      </c>
      <c r="K37" s="23"/>
      <c r="L37" s="23" t="s">
        <v>439</v>
      </c>
    </row>
    <row r="38" spans="1:12" ht="54.75" customHeight="1" x14ac:dyDescent="0.35">
      <c r="A38" s="28" t="s">
        <v>117</v>
      </c>
      <c r="B38" s="28" t="s">
        <v>118</v>
      </c>
      <c r="C38" s="28" t="s">
        <v>101</v>
      </c>
      <c r="D38" s="28">
        <v>5</v>
      </c>
      <c r="E38" s="20" t="s">
        <v>2885</v>
      </c>
      <c r="F38" s="3" t="s">
        <v>440</v>
      </c>
      <c r="G38" s="3" t="s">
        <v>441</v>
      </c>
      <c r="H38" s="3" t="s">
        <v>442</v>
      </c>
      <c r="I38" s="3" t="s">
        <v>443</v>
      </c>
      <c r="J38" s="3" t="s">
        <v>444</v>
      </c>
      <c r="K38" s="3"/>
      <c r="L38" s="3" t="s">
        <v>343</v>
      </c>
    </row>
    <row r="39" spans="1:12" ht="54.75" customHeight="1" x14ac:dyDescent="0.35">
      <c r="A39" s="22" t="s">
        <v>133</v>
      </c>
      <c r="B39" s="22" t="s">
        <v>134</v>
      </c>
      <c r="C39" s="22" t="s">
        <v>131</v>
      </c>
      <c r="D39" s="22">
        <v>0</v>
      </c>
      <c r="E39" s="11" t="s">
        <v>2880</v>
      </c>
      <c r="F39" s="23" t="s">
        <v>445</v>
      </c>
      <c r="G39" s="23" t="s">
        <v>230</v>
      </c>
      <c r="H39" s="23" t="s">
        <v>446</v>
      </c>
      <c r="I39" s="23" t="s">
        <v>447</v>
      </c>
      <c r="J39" s="23" t="s">
        <v>448</v>
      </c>
      <c r="K39" s="23" t="s">
        <v>449</v>
      </c>
      <c r="L39" s="23" t="s">
        <v>235</v>
      </c>
    </row>
    <row r="40" spans="1:12" ht="54.75" customHeight="1" x14ac:dyDescent="0.35">
      <c r="A40" s="24" t="s">
        <v>133</v>
      </c>
      <c r="B40" s="24" t="s">
        <v>134</v>
      </c>
      <c r="C40" s="24" t="s">
        <v>131</v>
      </c>
      <c r="D40" s="24">
        <v>1</v>
      </c>
      <c r="E40" s="13" t="s">
        <v>2881</v>
      </c>
      <c r="F40" s="3" t="s">
        <v>450</v>
      </c>
      <c r="G40" s="3" t="s">
        <v>451</v>
      </c>
      <c r="H40" s="3" t="s">
        <v>452</v>
      </c>
      <c r="I40" s="3" t="s">
        <v>453</v>
      </c>
      <c r="J40" s="3" t="s">
        <v>454</v>
      </c>
      <c r="K40" s="3" t="s">
        <v>455</v>
      </c>
      <c r="L40" s="3" t="s">
        <v>318</v>
      </c>
    </row>
    <row r="41" spans="1:12" ht="54.75" customHeight="1" x14ac:dyDescent="0.35">
      <c r="A41" s="25" t="s">
        <v>133</v>
      </c>
      <c r="B41" s="25" t="s">
        <v>134</v>
      </c>
      <c r="C41" s="25" t="s">
        <v>131</v>
      </c>
      <c r="D41" s="25">
        <v>2</v>
      </c>
      <c r="E41" s="14" t="s">
        <v>2882</v>
      </c>
      <c r="F41" s="23" t="s">
        <v>456</v>
      </c>
      <c r="G41" s="23" t="s">
        <v>457</v>
      </c>
      <c r="H41" s="23" t="s">
        <v>458</v>
      </c>
      <c r="I41" s="23" t="s">
        <v>459</v>
      </c>
      <c r="J41" s="23" t="s">
        <v>460</v>
      </c>
      <c r="K41" s="23" t="s">
        <v>461</v>
      </c>
      <c r="L41" s="23" t="s">
        <v>325</v>
      </c>
    </row>
    <row r="42" spans="1:12" ht="54.75" customHeight="1" x14ac:dyDescent="0.35">
      <c r="A42" s="26" t="s">
        <v>133</v>
      </c>
      <c r="B42" s="26" t="s">
        <v>134</v>
      </c>
      <c r="C42" s="26" t="s">
        <v>131</v>
      </c>
      <c r="D42" s="26">
        <v>3</v>
      </c>
      <c r="E42" s="16" t="s">
        <v>2883</v>
      </c>
      <c r="F42" s="3" t="s">
        <v>462</v>
      </c>
      <c r="G42" s="3" t="s">
        <v>463</v>
      </c>
      <c r="H42" s="3" t="s">
        <v>464</v>
      </c>
      <c r="I42" s="3" t="s">
        <v>465</v>
      </c>
      <c r="J42" s="3" t="s">
        <v>466</v>
      </c>
      <c r="K42" s="3" t="s">
        <v>467</v>
      </c>
      <c r="L42" s="3" t="s">
        <v>367</v>
      </c>
    </row>
    <row r="43" spans="1:12" ht="54.75" customHeight="1" x14ac:dyDescent="0.35">
      <c r="A43" s="27" t="s">
        <v>133</v>
      </c>
      <c r="B43" s="27" t="s">
        <v>134</v>
      </c>
      <c r="C43" s="27" t="s">
        <v>131</v>
      </c>
      <c r="D43" s="27">
        <v>4</v>
      </c>
      <c r="E43" s="27" t="s">
        <v>2884</v>
      </c>
      <c r="F43" s="23" t="s">
        <v>468</v>
      </c>
      <c r="G43" s="23" t="s">
        <v>469</v>
      </c>
      <c r="H43" s="23" t="s">
        <v>470</v>
      </c>
      <c r="I43" s="23" t="s">
        <v>471</v>
      </c>
      <c r="J43" s="23" t="s">
        <v>472</v>
      </c>
      <c r="K43" s="23"/>
      <c r="L43" s="23" t="s">
        <v>473</v>
      </c>
    </row>
    <row r="44" spans="1:12" ht="54.75" customHeight="1" x14ac:dyDescent="0.35">
      <c r="A44" s="28" t="s">
        <v>133</v>
      </c>
      <c r="B44" s="28" t="s">
        <v>134</v>
      </c>
      <c r="C44" s="28" t="s">
        <v>131</v>
      </c>
      <c r="D44" s="28">
        <v>5</v>
      </c>
      <c r="E44" s="28" t="s">
        <v>2885</v>
      </c>
      <c r="F44" s="3" t="s">
        <v>474</v>
      </c>
      <c r="G44" s="3" t="s">
        <v>475</v>
      </c>
      <c r="H44" s="3" t="s">
        <v>476</v>
      </c>
      <c r="I44" s="3" t="s">
        <v>477</v>
      </c>
      <c r="J44" s="3" t="s">
        <v>478</v>
      </c>
      <c r="K44" s="3"/>
      <c r="L44" s="3" t="s">
        <v>343</v>
      </c>
    </row>
    <row r="45" spans="1:12" ht="54.75" customHeight="1" x14ac:dyDescent="0.35">
      <c r="A45" s="22" t="s">
        <v>147</v>
      </c>
      <c r="B45" s="22" t="s">
        <v>148</v>
      </c>
      <c r="C45" s="22" t="s">
        <v>131</v>
      </c>
      <c r="D45" s="22">
        <v>0</v>
      </c>
      <c r="E45" s="22" t="s">
        <v>2880</v>
      </c>
      <c r="F45" s="23" t="s">
        <v>479</v>
      </c>
      <c r="G45" s="23" t="s">
        <v>230</v>
      </c>
      <c r="H45" s="23" t="s">
        <v>480</v>
      </c>
      <c r="I45" s="23" t="s">
        <v>481</v>
      </c>
      <c r="J45" s="23" t="s">
        <v>482</v>
      </c>
      <c r="K45" s="23" t="s">
        <v>483</v>
      </c>
      <c r="L45" s="23" t="s">
        <v>235</v>
      </c>
    </row>
    <row r="46" spans="1:12" ht="54.75" customHeight="1" x14ac:dyDescent="0.35">
      <c r="A46" s="24" t="s">
        <v>147</v>
      </c>
      <c r="B46" s="24" t="s">
        <v>148</v>
      </c>
      <c r="C46" s="24" t="s">
        <v>131</v>
      </c>
      <c r="D46" s="24">
        <v>1</v>
      </c>
      <c r="E46" s="24" t="s">
        <v>2881</v>
      </c>
      <c r="F46" s="3" t="s">
        <v>484</v>
      </c>
      <c r="G46" s="3" t="s">
        <v>485</v>
      </c>
      <c r="H46" s="3" t="s">
        <v>486</v>
      </c>
      <c r="I46" s="3" t="s">
        <v>487</v>
      </c>
      <c r="J46" s="3" t="s">
        <v>488</v>
      </c>
      <c r="K46" s="3" t="s">
        <v>489</v>
      </c>
      <c r="L46" s="3" t="s">
        <v>318</v>
      </c>
    </row>
    <row r="47" spans="1:12" ht="54.75" customHeight="1" x14ac:dyDescent="0.35">
      <c r="A47" s="25" t="s">
        <v>147</v>
      </c>
      <c r="B47" s="25" t="s">
        <v>148</v>
      </c>
      <c r="C47" s="25" t="s">
        <v>131</v>
      </c>
      <c r="D47" s="25">
        <v>2</v>
      </c>
      <c r="E47" s="25" t="s">
        <v>2882</v>
      </c>
      <c r="F47" s="23" t="s">
        <v>490</v>
      </c>
      <c r="G47" s="23" t="s">
        <v>491</v>
      </c>
      <c r="H47" s="23" t="s">
        <v>492</v>
      </c>
      <c r="I47" s="23" t="s">
        <v>493</v>
      </c>
      <c r="J47" s="23" t="s">
        <v>494</v>
      </c>
      <c r="K47" s="23" t="s">
        <v>495</v>
      </c>
      <c r="L47" s="23" t="s">
        <v>367</v>
      </c>
    </row>
    <row r="48" spans="1:12" ht="54.75" customHeight="1" x14ac:dyDescent="0.35">
      <c r="A48" s="26" t="s">
        <v>147</v>
      </c>
      <c r="B48" s="26" t="s">
        <v>148</v>
      </c>
      <c r="C48" s="26" t="s">
        <v>131</v>
      </c>
      <c r="D48" s="26">
        <v>3</v>
      </c>
      <c r="E48" s="26" t="s">
        <v>2883</v>
      </c>
      <c r="F48" s="3" t="s">
        <v>496</v>
      </c>
      <c r="G48" s="3" t="s">
        <v>497</v>
      </c>
      <c r="H48" s="3" t="s">
        <v>498</v>
      </c>
      <c r="I48" s="3" t="s">
        <v>499</v>
      </c>
      <c r="J48" s="3" t="s">
        <v>500</v>
      </c>
      <c r="K48" s="3" t="s">
        <v>501</v>
      </c>
      <c r="L48" s="3" t="s">
        <v>367</v>
      </c>
    </row>
    <row r="49" spans="1:12" ht="54.75" customHeight="1" x14ac:dyDescent="0.35">
      <c r="A49" s="27" t="s">
        <v>147</v>
      </c>
      <c r="B49" s="27" t="s">
        <v>148</v>
      </c>
      <c r="C49" s="27" t="s">
        <v>131</v>
      </c>
      <c r="D49" s="27">
        <v>4</v>
      </c>
      <c r="E49" s="27" t="s">
        <v>2884</v>
      </c>
      <c r="F49" s="23" t="s">
        <v>502</v>
      </c>
      <c r="G49" s="23" t="s">
        <v>503</v>
      </c>
      <c r="H49" s="23" t="s">
        <v>504</v>
      </c>
      <c r="I49" s="23" t="s">
        <v>505</v>
      </c>
      <c r="J49" s="23" t="s">
        <v>506</v>
      </c>
      <c r="K49" s="23"/>
      <c r="L49" s="23" t="s">
        <v>507</v>
      </c>
    </row>
    <row r="50" spans="1:12" ht="54.75" customHeight="1" x14ac:dyDescent="0.35">
      <c r="A50" s="28" t="s">
        <v>147</v>
      </c>
      <c r="B50" s="28" t="s">
        <v>148</v>
      </c>
      <c r="C50" s="28" t="s">
        <v>131</v>
      </c>
      <c r="D50" s="28">
        <v>5</v>
      </c>
      <c r="E50" s="28" t="s">
        <v>2885</v>
      </c>
      <c r="F50" s="3" t="s">
        <v>508</v>
      </c>
      <c r="G50" s="3" t="s">
        <v>509</v>
      </c>
      <c r="H50" s="3" t="s">
        <v>510</v>
      </c>
      <c r="I50" s="3" t="s">
        <v>511</v>
      </c>
      <c r="J50" s="3" t="s">
        <v>512</v>
      </c>
      <c r="K50" s="3"/>
      <c r="L50" s="3" t="s">
        <v>343</v>
      </c>
    </row>
    <row r="51" spans="1:12" ht="54.75" customHeight="1" x14ac:dyDescent="0.35">
      <c r="A51" s="22" t="s">
        <v>163</v>
      </c>
      <c r="B51" s="22" t="s">
        <v>164</v>
      </c>
      <c r="C51" s="22" t="s">
        <v>161</v>
      </c>
      <c r="D51" s="22">
        <v>0</v>
      </c>
      <c r="E51" s="22" t="s">
        <v>2880</v>
      </c>
      <c r="F51" s="23" t="s">
        <v>513</v>
      </c>
      <c r="G51" s="23" t="s">
        <v>230</v>
      </c>
      <c r="H51" s="23" t="s">
        <v>514</v>
      </c>
      <c r="I51" s="23" t="s">
        <v>515</v>
      </c>
      <c r="J51" s="23" t="s">
        <v>516</v>
      </c>
      <c r="K51" s="23" t="s">
        <v>517</v>
      </c>
      <c r="L51" s="23" t="s">
        <v>235</v>
      </c>
    </row>
    <row r="52" spans="1:12" ht="54.75" customHeight="1" x14ac:dyDescent="0.35">
      <c r="A52" s="24" t="s">
        <v>163</v>
      </c>
      <c r="B52" s="24" t="s">
        <v>164</v>
      </c>
      <c r="C52" s="24" t="s">
        <v>161</v>
      </c>
      <c r="D52" s="24">
        <v>1</v>
      </c>
      <c r="E52" s="24" t="s">
        <v>2881</v>
      </c>
      <c r="F52" s="3" t="s">
        <v>518</v>
      </c>
      <c r="G52" s="3" t="s">
        <v>519</v>
      </c>
      <c r="H52" s="3" t="s">
        <v>520</v>
      </c>
      <c r="I52" s="3" t="s">
        <v>521</v>
      </c>
      <c r="J52" s="3" t="s">
        <v>522</v>
      </c>
      <c r="K52" s="3" t="s">
        <v>523</v>
      </c>
      <c r="L52" s="3" t="s">
        <v>318</v>
      </c>
    </row>
    <row r="53" spans="1:12" ht="54.75" customHeight="1" x14ac:dyDescent="0.35">
      <c r="A53" s="25" t="s">
        <v>163</v>
      </c>
      <c r="B53" s="25" t="s">
        <v>164</v>
      </c>
      <c r="C53" s="25" t="s">
        <v>161</v>
      </c>
      <c r="D53" s="25">
        <v>2</v>
      </c>
      <c r="E53" s="25" t="s">
        <v>2882</v>
      </c>
      <c r="F53" s="23" t="s">
        <v>524</v>
      </c>
      <c r="G53" s="23" t="s">
        <v>525</v>
      </c>
      <c r="H53" s="23" t="s">
        <v>526</v>
      </c>
      <c r="I53" s="23" t="s">
        <v>527</v>
      </c>
      <c r="J53" s="23" t="s">
        <v>528</v>
      </c>
      <c r="K53" s="23" t="s">
        <v>529</v>
      </c>
      <c r="L53" s="23" t="s">
        <v>325</v>
      </c>
    </row>
    <row r="54" spans="1:12" ht="54.75" customHeight="1" x14ac:dyDescent="0.35">
      <c r="A54" s="26" t="s">
        <v>163</v>
      </c>
      <c r="B54" s="26" t="s">
        <v>164</v>
      </c>
      <c r="C54" s="26" t="s">
        <v>161</v>
      </c>
      <c r="D54" s="26">
        <v>3</v>
      </c>
      <c r="E54" s="26" t="s">
        <v>2883</v>
      </c>
      <c r="F54" s="3" t="s">
        <v>530</v>
      </c>
      <c r="G54" s="3" t="s">
        <v>531</v>
      </c>
      <c r="H54" s="3" t="s">
        <v>532</v>
      </c>
      <c r="I54" s="3" t="s">
        <v>533</v>
      </c>
      <c r="J54" s="3" t="s">
        <v>534</v>
      </c>
      <c r="K54" s="3" t="s">
        <v>535</v>
      </c>
      <c r="L54" s="3" t="s">
        <v>367</v>
      </c>
    </row>
    <row r="55" spans="1:12" ht="54.75" customHeight="1" x14ac:dyDescent="0.35">
      <c r="A55" s="27" t="s">
        <v>163</v>
      </c>
      <c r="B55" s="27" t="s">
        <v>164</v>
      </c>
      <c r="C55" s="27" t="s">
        <v>161</v>
      </c>
      <c r="D55" s="27">
        <v>4</v>
      </c>
      <c r="E55" s="27" t="s">
        <v>2884</v>
      </c>
      <c r="F55" s="23" t="s">
        <v>536</v>
      </c>
      <c r="G55" s="23" t="s">
        <v>537</v>
      </c>
      <c r="H55" s="23" t="s">
        <v>538</v>
      </c>
      <c r="I55" s="23" t="s">
        <v>539</v>
      </c>
      <c r="J55" s="23" t="s">
        <v>540</v>
      </c>
      <c r="K55" s="23"/>
      <c r="L55" s="23" t="s">
        <v>541</v>
      </c>
    </row>
    <row r="56" spans="1:12" ht="54.75" customHeight="1" x14ac:dyDescent="0.35">
      <c r="A56" s="28" t="s">
        <v>163</v>
      </c>
      <c r="B56" s="28" t="s">
        <v>164</v>
      </c>
      <c r="C56" s="28" t="s">
        <v>161</v>
      </c>
      <c r="D56" s="28">
        <v>5</v>
      </c>
      <c r="E56" s="28" t="s">
        <v>2885</v>
      </c>
      <c r="F56" s="3" t="s">
        <v>542</v>
      </c>
      <c r="G56" s="3" t="s">
        <v>543</v>
      </c>
      <c r="H56" s="3" t="s">
        <v>544</v>
      </c>
      <c r="I56" s="3" t="s">
        <v>545</v>
      </c>
      <c r="J56" s="3" t="s">
        <v>546</v>
      </c>
      <c r="K56" s="3"/>
      <c r="L56" s="3" t="s">
        <v>343</v>
      </c>
    </row>
    <row r="57" spans="1:12" ht="54.75" customHeight="1" x14ac:dyDescent="0.35">
      <c r="A57" s="22" t="s">
        <v>177</v>
      </c>
      <c r="B57" s="22" t="s">
        <v>178</v>
      </c>
      <c r="C57" s="22" t="s">
        <v>161</v>
      </c>
      <c r="D57" s="22">
        <v>0</v>
      </c>
      <c r="E57" s="22" t="s">
        <v>2880</v>
      </c>
      <c r="F57" s="23" t="s">
        <v>547</v>
      </c>
      <c r="G57" s="23" t="s">
        <v>230</v>
      </c>
      <c r="H57" s="23" t="s">
        <v>548</v>
      </c>
      <c r="I57" s="23" t="s">
        <v>549</v>
      </c>
      <c r="J57" s="23" t="s">
        <v>550</v>
      </c>
      <c r="K57" s="23" t="s">
        <v>551</v>
      </c>
      <c r="L57" s="23" t="s">
        <v>235</v>
      </c>
    </row>
    <row r="58" spans="1:12" ht="54.75" customHeight="1" x14ac:dyDescent="0.35">
      <c r="A58" s="24" t="s">
        <v>177</v>
      </c>
      <c r="B58" s="24" t="s">
        <v>178</v>
      </c>
      <c r="C58" s="24" t="s">
        <v>161</v>
      </c>
      <c r="D58" s="24">
        <v>1</v>
      </c>
      <c r="E58" s="24" t="s">
        <v>2881</v>
      </c>
      <c r="F58" s="3" t="s">
        <v>552</v>
      </c>
      <c r="G58" s="3" t="s">
        <v>553</v>
      </c>
      <c r="H58" s="3" t="s">
        <v>554</v>
      </c>
      <c r="I58" s="3" t="s">
        <v>555</v>
      </c>
      <c r="J58" s="3" t="s">
        <v>556</v>
      </c>
      <c r="K58" s="3" t="s">
        <v>557</v>
      </c>
      <c r="L58" s="3" t="s">
        <v>318</v>
      </c>
    </row>
    <row r="59" spans="1:12" ht="54.75" customHeight="1" x14ac:dyDescent="0.35">
      <c r="A59" s="25" t="s">
        <v>177</v>
      </c>
      <c r="B59" s="25" t="s">
        <v>178</v>
      </c>
      <c r="C59" s="25" t="s">
        <v>161</v>
      </c>
      <c r="D59" s="25">
        <v>2</v>
      </c>
      <c r="E59" s="25" t="s">
        <v>2882</v>
      </c>
      <c r="F59" s="23" t="s">
        <v>558</v>
      </c>
      <c r="G59" s="23" t="s">
        <v>559</v>
      </c>
      <c r="H59" s="23" t="s">
        <v>560</v>
      </c>
      <c r="I59" s="23" t="s">
        <v>561</v>
      </c>
      <c r="J59" s="23" t="s">
        <v>562</v>
      </c>
      <c r="K59" s="23" t="s">
        <v>563</v>
      </c>
      <c r="L59" s="23" t="s">
        <v>325</v>
      </c>
    </row>
    <row r="60" spans="1:12" ht="54.75" customHeight="1" x14ac:dyDescent="0.35">
      <c r="A60" s="26" t="s">
        <v>177</v>
      </c>
      <c r="B60" s="26" t="s">
        <v>178</v>
      </c>
      <c r="C60" s="26" t="s">
        <v>161</v>
      </c>
      <c r="D60" s="26">
        <v>3</v>
      </c>
      <c r="E60" s="26" t="s">
        <v>2883</v>
      </c>
      <c r="F60" s="3" t="s">
        <v>564</v>
      </c>
      <c r="G60" s="3" t="s">
        <v>565</v>
      </c>
      <c r="H60" s="3" t="s">
        <v>566</v>
      </c>
      <c r="I60" s="3" t="s">
        <v>567</v>
      </c>
      <c r="J60" s="3" t="s">
        <v>568</v>
      </c>
      <c r="K60" s="3" t="s">
        <v>569</v>
      </c>
      <c r="L60" s="3" t="s">
        <v>367</v>
      </c>
    </row>
    <row r="61" spans="1:12" ht="54.75" customHeight="1" x14ac:dyDescent="0.35">
      <c r="A61" s="27" t="s">
        <v>177</v>
      </c>
      <c r="B61" s="27" t="s">
        <v>178</v>
      </c>
      <c r="C61" s="27" t="s">
        <v>161</v>
      </c>
      <c r="D61" s="27">
        <v>4</v>
      </c>
      <c r="E61" s="27" t="s">
        <v>2884</v>
      </c>
      <c r="F61" s="23" t="s">
        <v>570</v>
      </c>
      <c r="G61" s="23" t="s">
        <v>571</v>
      </c>
      <c r="H61" s="23" t="s">
        <v>572</v>
      </c>
      <c r="I61" s="23" t="s">
        <v>573</v>
      </c>
      <c r="J61" s="23" t="s">
        <v>574</v>
      </c>
      <c r="K61" s="23"/>
      <c r="L61" s="23" t="s">
        <v>575</v>
      </c>
    </row>
    <row r="62" spans="1:12" ht="54.75" customHeight="1" x14ac:dyDescent="0.35">
      <c r="A62" s="28" t="s">
        <v>177</v>
      </c>
      <c r="B62" s="28" t="s">
        <v>178</v>
      </c>
      <c r="C62" s="28" t="s">
        <v>161</v>
      </c>
      <c r="D62" s="28">
        <v>5</v>
      </c>
      <c r="E62" s="28" t="s">
        <v>2885</v>
      </c>
      <c r="F62" s="3" t="s">
        <v>576</v>
      </c>
      <c r="G62" s="3" t="s">
        <v>577</v>
      </c>
      <c r="H62" s="3" t="s">
        <v>578</v>
      </c>
      <c r="I62" s="3" t="s">
        <v>579</v>
      </c>
      <c r="J62" s="3" t="s">
        <v>580</v>
      </c>
      <c r="K62" s="3"/>
      <c r="L62" s="3" t="s">
        <v>343</v>
      </c>
    </row>
  </sheetData>
  <autoFilter ref="A2:L2" xr:uid="{00000000-0009-0000-0000-000004000000}"/>
  <mergeCells count="1">
    <mergeCell ref="A1:L1"/>
  </mergeCells>
  <pageMargins left="0.75" right="0.75" top="1" bottom="1" header="0.511811023622047" footer="0.511811023622047"/>
  <pageSetup paperSize="9"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ED7D31"/>
  </sheetPr>
  <dimension ref="A1:F14"/>
  <sheetViews>
    <sheetView showGridLines="0" zoomScale="83" zoomScaleNormal="100" workbookViewId="0">
      <pane ySplit="2" topLeftCell="A10" activePane="bottomLeft" state="frozen"/>
      <selection pane="bottomLeft" activeCell="G12" sqref="G12"/>
    </sheetView>
  </sheetViews>
  <sheetFormatPr baseColWidth="10" defaultColWidth="8.6328125" defaultRowHeight="14.5" x14ac:dyDescent="0.35"/>
  <cols>
    <col min="1" max="1" width="12" customWidth="1"/>
    <col min="2" max="2" width="32" customWidth="1"/>
    <col min="3" max="5" width="18" customWidth="1"/>
    <col min="6" max="6" width="60" customWidth="1"/>
  </cols>
  <sheetData>
    <row r="1" spans="1:6" ht="21.75" customHeight="1" x14ac:dyDescent="0.35">
      <c r="A1" s="37" t="s">
        <v>581</v>
      </c>
      <c r="B1" s="36"/>
      <c r="C1" s="36"/>
      <c r="D1" s="36"/>
      <c r="E1" s="36"/>
      <c r="F1" s="36"/>
    </row>
    <row r="2" spans="1:6" ht="21.75" customHeight="1" x14ac:dyDescent="0.35">
      <c r="A2" s="1" t="s">
        <v>33</v>
      </c>
      <c r="B2" s="1" t="s">
        <v>34</v>
      </c>
      <c r="C2" s="1" t="s">
        <v>582</v>
      </c>
      <c r="D2" s="1" t="s">
        <v>583</v>
      </c>
      <c r="E2" s="1" t="s">
        <v>584</v>
      </c>
      <c r="F2" s="1" t="s">
        <v>585</v>
      </c>
    </row>
    <row r="3" spans="1:6" ht="45" customHeight="1" x14ac:dyDescent="0.35">
      <c r="A3" s="3" t="s">
        <v>43</v>
      </c>
      <c r="B3" s="3" t="s">
        <v>44</v>
      </c>
      <c r="C3" s="3">
        <v>3</v>
      </c>
      <c r="D3" s="29"/>
      <c r="E3" s="30">
        <f t="shared" ref="E3:E12" si="0">IF(D3&lt;&gt;"",D3,C3)</f>
        <v>3</v>
      </c>
      <c r="F3" s="3" t="s">
        <v>586</v>
      </c>
    </row>
    <row r="4" spans="1:6" ht="45" customHeight="1" x14ac:dyDescent="0.35">
      <c r="A4" s="5" t="s">
        <v>57</v>
      </c>
      <c r="B4" s="5" t="s">
        <v>58</v>
      </c>
      <c r="C4" s="5">
        <v>3</v>
      </c>
      <c r="D4" s="29"/>
      <c r="E4" s="30">
        <f t="shared" si="0"/>
        <v>3</v>
      </c>
      <c r="F4" s="5" t="s">
        <v>587</v>
      </c>
    </row>
    <row r="5" spans="1:6" ht="45" customHeight="1" x14ac:dyDescent="0.35">
      <c r="A5" s="3" t="s">
        <v>73</v>
      </c>
      <c r="B5" s="3" t="s">
        <v>74</v>
      </c>
      <c r="C5" s="3">
        <v>3</v>
      </c>
      <c r="D5" s="29"/>
      <c r="E5" s="30">
        <f t="shared" si="0"/>
        <v>3</v>
      </c>
      <c r="F5" s="3" t="s">
        <v>588</v>
      </c>
    </row>
    <row r="6" spans="1:6" ht="45" customHeight="1" x14ac:dyDescent="0.35">
      <c r="A6" s="5" t="s">
        <v>87</v>
      </c>
      <c r="B6" s="5" t="s">
        <v>88</v>
      </c>
      <c r="C6" s="5">
        <v>3</v>
      </c>
      <c r="D6" s="29"/>
      <c r="E6" s="30">
        <f t="shared" si="0"/>
        <v>3</v>
      </c>
      <c r="F6" s="5" t="s">
        <v>589</v>
      </c>
    </row>
    <row r="7" spans="1:6" ht="45" customHeight="1" x14ac:dyDescent="0.35">
      <c r="A7" s="3" t="s">
        <v>103</v>
      </c>
      <c r="B7" s="3" t="s">
        <v>104</v>
      </c>
      <c r="C7" s="3">
        <v>3</v>
      </c>
      <c r="D7" s="29"/>
      <c r="E7" s="30">
        <f t="shared" si="0"/>
        <v>3</v>
      </c>
      <c r="F7" s="3" t="s">
        <v>590</v>
      </c>
    </row>
    <row r="8" spans="1:6" ht="45" customHeight="1" x14ac:dyDescent="0.35">
      <c r="A8" s="5" t="s">
        <v>117</v>
      </c>
      <c r="B8" s="5" t="s">
        <v>118</v>
      </c>
      <c r="C8" s="5">
        <v>3</v>
      </c>
      <c r="D8" s="29"/>
      <c r="E8" s="30">
        <f t="shared" si="0"/>
        <v>3</v>
      </c>
      <c r="F8" s="5" t="s">
        <v>591</v>
      </c>
    </row>
    <row r="9" spans="1:6" ht="45" customHeight="1" x14ac:dyDescent="0.35">
      <c r="A9" s="3" t="s">
        <v>133</v>
      </c>
      <c r="B9" s="3" t="s">
        <v>134</v>
      </c>
      <c r="C9" s="3">
        <v>3</v>
      </c>
      <c r="D9" s="29"/>
      <c r="E9" s="30">
        <f t="shared" si="0"/>
        <v>3</v>
      </c>
      <c r="F9" s="3" t="s">
        <v>592</v>
      </c>
    </row>
    <row r="10" spans="1:6" ht="45" customHeight="1" x14ac:dyDescent="0.35">
      <c r="A10" s="5" t="s">
        <v>147</v>
      </c>
      <c r="B10" s="5" t="s">
        <v>148</v>
      </c>
      <c r="C10" s="5">
        <v>3</v>
      </c>
      <c r="D10" s="29"/>
      <c r="E10" s="30">
        <f t="shared" si="0"/>
        <v>3</v>
      </c>
      <c r="F10" s="5" t="s">
        <v>593</v>
      </c>
    </row>
    <row r="11" spans="1:6" ht="45" customHeight="1" x14ac:dyDescent="0.35">
      <c r="A11" s="3" t="s">
        <v>163</v>
      </c>
      <c r="B11" s="3" t="s">
        <v>164</v>
      </c>
      <c r="C11" s="3">
        <v>3</v>
      </c>
      <c r="D11" s="29"/>
      <c r="E11" s="30">
        <f t="shared" si="0"/>
        <v>3</v>
      </c>
      <c r="F11" s="3" t="s">
        <v>594</v>
      </c>
    </row>
    <row r="12" spans="1:6" ht="45" customHeight="1" x14ac:dyDescent="0.35">
      <c r="A12" s="5" t="s">
        <v>177</v>
      </c>
      <c r="B12" s="5" t="s">
        <v>178</v>
      </c>
      <c r="C12" s="5">
        <v>3</v>
      </c>
      <c r="D12" s="29"/>
      <c r="E12" s="30">
        <f t="shared" si="0"/>
        <v>3</v>
      </c>
      <c r="F12" s="5" t="s">
        <v>595</v>
      </c>
    </row>
    <row r="14" spans="1:6" ht="15" customHeight="1" x14ac:dyDescent="0.35">
      <c r="A14" s="38"/>
      <c r="B14" s="36"/>
      <c r="C14" s="36"/>
      <c r="D14" s="36"/>
      <c r="E14" s="36"/>
      <c r="F14" s="36"/>
    </row>
  </sheetData>
  <autoFilter ref="A2:F2" xr:uid="{00000000-0009-0000-0000-000005000000}"/>
  <mergeCells count="2">
    <mergeCell ref="A14:F14"/>
    <mergeCell ref="A1:F1"/>
  </mergeCells>
  <dataValidations count="1">
    <dataValidation type="list" allowBlank="1" sqref="D3:D12" xr:uid="{00000000-0002-0000-0500-000000000000}">
      <formula1>"0,1,2,3,4,5"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ED7D31"/>
  </sheetPr>
  <dimension ref="A1:J39"/>
  <sheetViews>
    <sheetView showGridLines="0" zoomScale="56" zoomScaleNormal="100" workbookViewId="0">
      <pane ySplit="2" topLeftCell="A20" activePane="bottomLeft" state="frozen"/>
      <selection pane="bottomLeft" activeCell="N29" sqref="N29"/>
    </sheetView>
  </sheetViews>
  <sheetFormatPr baseColWidth="10" defaultColWidth="8.6328125" defaultRowHeight="14.5" x14ac:dyDescent="0.35"/>
  <cols>
    <col min="1" max="1" width="15" customWidth="1"/>
    <col min="2" max="2" width="12" customWidth="1"/>
    <col min="3" max="3" width="14" customWidth="1"/>
    <col min="4" max="4" width="32" customWidth="1"/>
    <col min="5" max="5" width="14" customWidth="1"/>
    <col min="6" max="6" width="18" customWidth="1"/>
    <col min="7" max="7" width="16" customWidth="1"/>
    <col min="8" max="8" width="14" customWidth="1"/>
    <col min="9" max="9" width="50" customWidth="1"/>
    <col min="10" max="10" width="14" customWidth="1"/>
  </cols>
  <sheetData>
    <row r="1" spans="1:10" ht="21.75" customHeight="1" x14ac:dyDescent="0.35">
      <c r="A1" s="37" t="s">
        <v>596</v>
      </c>
      <c r="B1" s="36"/>
      <c r="C1" s="36"/>
      <c r="D1" s="36"/>
      <c r="E1" s="36"/>
      <c r="F1" s="36"/>
      <c r="G1" s="36"/>
      <c r="H1" s="36"/>
      <c r="I1" s="36"/>
      <c r="J1" s="36"/>
    </row>
    <row r="2" spans="1:10" ht="21.75" customHeight="1" x14ac:dyDescent="0.35">
      <c r="A2" s="1" t="s">
        <v>597</v>
      </c>
      <c r="B2" s="1" t="s">
        <v>598</v>
      </c>
      <c r="C2" s="1" t="s">
        <v>599</v>
      </c>
      <c r="D2" s="1" t="s">
        <v>600</v>
      </c>
      <c r="E2" s="1" t="s">
        <v>601</v>
      </c>
      <c r="F2" s="1" t="s">
        <v>602</v>
      </c>
      <c r="G2" s="1" t="s">
        <v>603</v>
      </c>
      <c r="H2" s="1" t="s">
        <v>604</v>
      </c>
      <c r="I2" s="1" t="s">
        <v>605</v>
      </c>
      <c r="J2" s="1" t="s">
        <v>606</v>
      </c>
    </row>
    <row r="3" spans="1:10" ht="21.75" customHeight="1" x14ac:dyDescent="0.35">
      <c r="A3" s="24" t="s">
        <v>607</v>
      </c>
      <c r="B3" s="24" t="s">
        <v>608</v>
      </c>
      <c r="C3" s="24" t="s">
        <v>41</v>
      </c>
      <c r="D3" s="24" t="s">
        <v>42</v>
      </c>
      <c r="E3" s="6">
        <v>0.2</v>
      </c>
      <c r="F3" s="31"/>
      <c r="G3" s="30">
        <f t="shared" ref="G3:G37" si="0">IF(F3&lt;&gt;"",F3,E3)</f>
        <v>0.2</v>
      </c>
      <c r="H3" s="6" t="s">
        <v>609</v>
      </c>
      <c r="I3" s="6" t="s">
        <v>610</v>
      </c>
      <c r="J3" s="6" t="s">
        <v>611</v>
      </c>
    </row>
    <row r="4" spans="1:10" ht="21.75" customHeight="1" x14ac:dyDescent="0.35">
      <c r="A4" s="32" t="s">
        <v>607</v>
      </c>
      <c r="B4" s="32" t="s">
        <v>608</v>
      </c>
      <c r="C4" s="32" t="s">
        <v>71</v>
      </c>
      <c r="D4" s="32" t="s">
        <v>612</v>
      </c>
      <c r="E4" s="7">
        <v>0.2</v>
      </c>
      <c r="F4" s="31"/>
      <c r="G4" s="30">
        <f t="shared" si="0"/>
        <v>0.2</v>
      </c>
      <c r="H4" s="7" t="s">
        <v>609</v>
      </c>
      <c r="I4" s="7" t="s">
        <v>610</v>
      </c>
      <c r="J4" s="7" t="s">
        <v>611</v>
      </c>
    </row>
    <row r="5" spans="1:10" ht="21.75" customHeight="1" x14ac:dyDescent="0.35">
      <c r="A5" s="29" t="s">
        <v>607</v>
      </c>
      <c r="B5" s="29" t="s">
        <v>608</v>
      </c>
      <c r="C5" s="29" t="s">
        <v>101</v>
      </c>
      <c r="D5" s="29" t="s">
        <v>613</v>
      </c>
      <c r="E5" s="8">
        <v>0.2</v>
      </c>
      <c r="F5" s="31"/>
      <c r="G5" s="30">
        <f t="shared" si="0"/>
        <v>0.2</v>
      </c>
      <c r="H5" s="8" t="s">
        <v>609</v>
      </c>
      <c r="I5" s="8" t="s">
        <v>610</v>
      </c>
      <c r="J5" s="8" t="s">
        <v>611</v>
      </c>
    </row>
    <row r="6" spans="1:10" ht="21.75" customHeight="1" x14ac:dyDescent="0.35">
      <c r="A6" s="33" t="s">
        <v>607</v>
      </c>
      <c r="B6" s="33" t="s">
        <v>608</v>
      </c>
      <c r="C6" s="33" t="s">
        <v>131</v>
      </c>
      <c r="D6" s="33" t="s">
        <v>614</v>
      </c>
      <c r="E6" s="9">
        <v>0.2</v>
      </c>
      <c r="F6" s="31"/>
      <c r="G6" s="30">
        <f t="shared" si="0"/>
        <v>0.2</v>
      </c>
      <c r="H6" s="9" t="s">
        <v>609</v>
      </c>
      <c r="I6" s="9" t="s">
        <v>610</v>
      </c>
      <c r="J6" s="9" t="s">
        <v>611</v>
      </c>
    </row>
    <row r="7" spans="1:10" ht="21.75" customHeight="1" x14ac:dyDescent="0.35">
      <c r="A7" s="34" t="s">
        <v>607</v>
      </c>
      <c r="B7" s="34" t="s">
        <v>608</v>
      </c>
      <c r="C7" s="34" t="s">
        <v>161</v>
      </c>
      <c r="D7" s="34" t="s">
        <v>615</v>
      </c>
      <c r="E7" s="10">
        <v>0.2</v>
      </c>
      <c r="F7" s="31"/>
      <c r="G7" s="30">
        <f t="shared" si="0"/>
        <v>0.2</v>
      </c>
      <c r="H7" s="10" t="s">
        <v>609</v>
      </c>
      <c r="I7" s="10" t="s">
        <v>610</v>
      </c>
      <c r="J7" s="10" t="s">
        <v>611</v>
      </c>
    </row>
    <row r="8" spans="1:10" ht="21.75" customHeight="1" x14ac:dyDescent="0.35">
      <c r="A8" s="5" t="s">
        <v>616</v>
      </c>
      <c r="B8" s="5" t="s">
        <v>41</v>
      </c>
      <c r="C8" s="5" t="s">
        <v>43</v>
      </c>
      <c r="D8" s="5" t="s">
        <v>44</v>
      </c>
      <c r="E8" s="5">
        <v>0.5</v>
      </c>
      <c r="F8" s="31"/>
      <c r="G8" s="30">
        <f t="shared" si="0"/>
        <v>0.5</v>
      </c>
      <c r="H8" s="5" t="s">
        <v>609</v>
      </c>
      <c r="I8" s="5" t="s">
        <v>617</v>
      </c>
      <c r="J8" s="5" t="s">
        <v>611</v>
      </c>
    </row>
    <row r="9" spans="1:10" ht="21.75" customHeight="1" x14ac:dyDescent="0.35">
      <c r="A9" s="3" t="s">
        <v>616</v>
      </c>
      <c r="B9" s="3" t="s">
        <v>41</v>
      </c>
      <c r="C9" s="3" t="s">
        <v>57</v>
      </c>
      <c r="D9" s="3" t="s">
        <v>618</v>
      </c>
      <c r="E9" s="3">
        <v>0.5</v>
      </c>
      <c r="F9" s="31"/>
      <c r="G9" s="30">
        <f t="shared" si="0"/>
        <v>0.5</v>
      </c>
      <c r="H9" s="3" t="s">
        <v>609</v>
      </c>
      <c r="I9" s="3" t="s">
        <v>617</v>
      </c>
      <c r="J9" s="3" t="s">
        <v>611</v>
      </c>
    </row>
    <row r="10" spans="1:10" ht="21.75" customHeight="1" x14ac:dyDescent="0.35">
      <c r="A10" s="5" t="s">
        <v>616</v>
      </c>
      <c r="B10" s="5" t="s">
        <v>71</v>
      </c>
      <c r="C10" s="5" t="s">
        <v>73</v>
      </c>
      <c r="D10" s="5" t="s">
        <v>74</v>
      </c>
      <c r="E10" s="5">
        <v>0.5</v>
      </c>
      <c r="F10" s="31"/>
      <c r="G10" s="30">
        <f t="shared" si="0"/>
        <v>0.5</v>
      </c>
      <c r="H10" s="5" t="s">
        <v>609</v>
      </c>
      <c r="I10" s="5" t="s">
        <v>617</v>
      </c>
      <c r="J10" s="5" t="s">
        <v>611</v>
      </c>
    </row>
    <row r="11" spans="1:10" ht="21.75" customHeight="1" x14ac:dyDescent="0.35">
      <c r="A11" s="3" t="s">
        <v>616</v>
      </c>
      <c r="B11" s="3" t="s">
        <v>71</v>
      </c>
      <c r="C11" s="3" t="s">
        <v>87</v>
      </c>
      <c r="D11" s="3" t="s">
        <v>619</v>
      </c>
      <c r="E11" s="3">
        <v>0.5</v>
      </c>
      <c r="F11" s="31"/>
      <c r="G11" s="30">
        <f t="shared" si="0"/>
        <v>0.5</v>
      </c>
      <c r="H11" s="3" t="s">
        <v>609</v>
      </c>
      <c r="I11" s="3" t="s">
        <v>617</v>
      </c>
      <c r="J11" s="3" t="s">
        <v>611</v>
      </c>
    </row>
    <row r="12" spans="1:10" ht="21.75" customHeight="1" x14ac:dyDescent="0.35">
      <c r="A12" s="5" t="s">
        <v>616</v>
      </c>
      <c r="B12" s="5" t="s">
        <v>101</v>
      </c>
      <c r="C12" s="5" t="s">
        <v>103</v>
      </c>
      <c r="D12" s="5" t="s">
        <v>620</v>
      </c>
      <c r="E12" s="5">
        <v>0.5</v>
      </c>
      <c r="F12" s="31"/>
      <c r="G12" s="30">
        <f t="shared" si="0"/>
        <v>0.5</v>
      </c>
      <c r="H12" s="5" t="s">
        <v>609</v>
      </c>
      <c r="I12" s="5" t="s">
        <v>617</v>
      </c>
      <c r="J12" s="5" t="s">
        <v>611</v>
      </c>
    </row>
    <row r="13" spans="1:10" ht="21.75" customHeight="1" x14ac:dyDescent="0.35">
      <c r="A13" s="3" t="s">
        <v>616</v>
      </c>
      <c r="B13" s="3" t="s">
        <v>101</v>
      </c>
      <c r="C13" s="3" t="s">
        <v>117</v>
      </c>
      <c r="D13" s="3" t="s">
        <v>621</v>
      </c>
      <c r="E13" s="3">
        <v>0.5</v>
      </c>
      <c r="F13" s="31"/>
      <c r="G13" s="30">
        <f t="shared" si="0"/>
        <v>0.5</v>
      </c>
      <c r="H13" s="3" t="s">
        <v>609</v>
      </c>
      <c r="I13" s="3" t="s">
        <v>617</v>
      </c>
      <c r="J13" s="3" t="s">
        <v>611</v>
      </c>
    </row>
    <row r="14" spans="1:10" ht="21.75" customHeight="1" x14ac:dyDescent="0.35">
      <c r="A14" s="5" t="s">
        <v>616</v>
      </c>
      <c r="B14" s="5" t="s">
        <v>131</v>
      </c>
      <c r="C14" s="5" t="s">
        <v>133</v>
      </c>
      <c r="D14" s="5" t="s">
        <v>134</v>
      </c>
      <c r="E14" s="5">
        <v>0.5</v>
      </c>
      <c r="F14" s="31"/>
      <c r="G14" s="30">
        <f t="shared" si="0"/>
        <v>0.5</v>
      </c>
      <c r="H14" s="5" t="s">
        <v>609</v>
      </c>
      <c r="I14" s="5" t="s">
        <v>617</v>
      </c>
      <c r="J14" s="5" t="s">
        <v>611</v>
      </c>
    </row>
    <row r="15" spans="1:10" ht="21.75" customHeight="1" x14ac:dyDescent="0.35">
      <c r="A15" s="3" t="s">
        <v>616</v>
      </c>
      <c r="B15" s="3" t="s">
        <v>131</v>
      </c>
      <c r="C15" s="3" t="s">
        <v>147</v>
      </c>
      <c r="D15" s="3" t="s">
        <v>622</v>
      </c>
      <c r="E15" s="3">
        <v>0.5</v>
      </c>
      <c r="F15" s="31"/>
      <c r="G15" s="30">
        <f t="shared" si="0"/>
        <v>0.5</v>
      </c>
      <c r="H15" s="3" t="s">
        <v>609</v>
      </c>
      <c r="I15" s="3" t="s">
        <v>617</v>
      </c>
      <c r="J15" s="3" t="s">
        <v>611</v>
      </c>
    </row>
    <row r="16" spans="1:10" ht="21.75" customHeight="1" x14ac:dyDescent="0.35">
      <c r="A16" s="5" t="s">
        <v>616</v>
      </c>
      <c r="B16" s="5" t="s">
        <v>161</v>
      </c>
      <c r="C16" s="5" t="s">
        <v>163</v>
      </c>
      <c r="D16" s="5" t="s">
        <v>623</v>
      </c>
      <c r="E16" s="5">
        <v>0.5</v>
      </c>
      <c r="F16" s="31"/>
      <c r="G16" s="30">
        <f t="shared" si="0"/>
        <v>0.5</v>
      </c>
      <c r="H16" s="5" t="s">
        <v>609</v>
      </c>
      <c r="I16" s="5" t="s">
        <v>617</v>
      </c>
      <c r="J16" s="5" t="s">
        <v>611</v>
      </c>
    </row>
    <row r="17" spans="1:10" ht="21.75" customHeight="1" x14ac:dyDescent="0.35">
      <c r="A17" s="3" t="s">
        <v>616</v>
      </c>
      <c r="B17" s="3" t="s">
        <v>161</v>
      </c>
      <c r="C17" s="3" t="s">
        <v>177</v>
      </c>
      <c r="D17" s="3" t="s">
        <v>624</v>
      </c>
      <c r="E17" s="3">
        <v>0.5</v>
      </c>
      <c r="F17" s="31"/>
      <c r="G17" s="30">
        <f t="shared" si="0"/>
        <v>0.5</v>
      </c>
      <c r="H17" s="3" t="s">
        <v>609</v>
      </c>
      <c r="I17" s="3" t="s">
        <v>617</v>
      </c>
      <c r="J17" s="3" t="s">
        <v>611</v>
      </c>
    </row>
    <row r="18" spans="1:10" ht="21.75" customHeight="1" x14ac:dyDescent="0.35">
      <c r="A18" s="5" t="s">
        <v>625</v>
      </c>
      <c r="B18" s="5" t="s">
        <v>43</v>
      </c>
      <c r="C18" s="5" t="s">
        <v>45</v>
      </c>
      <c r="D18" s="5" t="s">
        <v>46</v>
      </c>
      <c r="E18" s="5">
        <v>0.5</v>
      </c>
      <c r="F18" s="31"/>
      <c r="G18" s="30">
        <f t="shared" si="0"/>
        <v>0.5</v>
      </c>
      <c r="H18" s="5" t="s">
        <v>609</v>
      </c>
      <c r="I18" s="5" t="s">
        <v>626</v>
      </c>
      <c r="J18" s="5" t="s">
        <v>611</v>
      </c>
    </row>
    <row r="19" spans="1:10" ht="21.75" customHeight="1" x14ac:dyDescent="0.35">
      <c r="A19" s="3" t="s">
        <v>625</v>
      </c>
      <c r="B19" s="3" t="s">
        <v>43</v>
      </c>
      <c r="C19" s="3" t="s">
        <v>51</v>
      </c>
      <c r="D19" s="3" t="s">
        <v>627</v>
      </c>
      <c r="E19" s="3">
        <v>0.5</v>
      </c>
      <c r="F19" s="31"/>
      <c r="G19" s="30">
        <f t="shared" si="0"/>
        <v>0.5</v>
      </c>
      <c r="H19" s="3" t="s">
        <v>609</v>
      </c>
      <c r="I19" s="3" t="s">
        <v>626</v>
      </c>
      <c r="J19" s="3" t="s">
        <v>611</v>
      </c>
    </row>
    <row r="20" spans="1:10" ht="21.75" customHeight="1" x14ac:dyDescent="0.35">
      <c r="A20" s="5" t="s">
        <v>625</v>
      </c>
      <c r="B20" s="5" t="s">
        <v>57</v>
      </c>
      <c r="C20" s="5" t="s">
        <v>59</v>
      </c>
      <c r="D20" s="5" t="s">
        <v>628</v>
      </c>
      <c r="E20" s="5">
        <v>0.5</v>
      </c>
      <c r="F20" s="31"/>
      <c r="G20" s="30">
        <f t="shared" si="0"/>
        <v>0.5</v>
      </c>
      <c r="H20" s="5" t="s">
        <v>609</v>
      </c>
      <c r="I20" s="5" t="s">
        <v>626</v>
      </c>
      <c r="J20" s="5" t="s">
        <v>611</v>
      </c>
    </row>
    <row r="21" spans="1:10" ht="21.75" customHeight="1" x14ac:dyDescent="0.35">
      <c r="A21" s="3" t="s">
        <v>625</v>
      </c>
      <c r="B21" s="3" t="s">
        <v>57</v>
      </c>
      <c r="C21" s="3" t="s">
        <v>65</v>
      </c>
      <c r="D21" s="3" t="s">
        <v>629</v>
      </c>
      <c r="E21" s="3">
        <v>0.5</v>
      </c>
      <c r="F21" s="31"/>
      <c r="G21" s="30">
        <f t="shared" si="0"/>
        <v>0.5</v>
      </c>
      <c r="H21" s="3" t="s">
        <v>609</v>
      </c>
      <c r="I21" s="3" t="s">
        <v>626</v>
      </c>
      <c r="J21" s="3" t="s">
        <v>611</v>
      </c>
    </row>
    <row r="22" spans="1:10" ht="21.75" customHeight="1" x14ac:dyDescent="0.35">
      <c r="A22" s="5" t="s">
        <v>625</v>
      </c>
      <c r="B22" s="5" t="s">
        <v>73</v>
      </c>
      <c r="C22" s="5" t="s">
        <v>75</v>
      </c>
      <c r="D22" s="5" t="s">
        <v>630</v>
      </c>
      <c r="E22" s="5">
        <v>0.5</v>
      </c>
      <c r="F22" s="31"/>
      <c r="G22" s="30">
        <f t="shared" si="0"/>
        <v>0.5</v>
      </c>
      <c r="H22" s="5" t="s">
        <v>609</v>
      </c>
      <c r="I22" s="5" t="s">
        <v>626</v>
      </c>
      <c r="J22" s="5" t="s">
        <v>611</v>
      </c>
    </row>
    <row r="23" spans="1:10" ht="21.75" customHeight="1" x14ac:dyDescent="0.35">
      <c r="A23" s="3" t="s">
        <v>625</v>
      </c>
      <c r="B23" s="3" t="s">
        <v>73</v>
      </c>
      <c r="C23" s="3" t="s">
        <v>81</v>
      </c>
      <c r="D23" s="3" t="s">
        <v>631</v>
      </c>
      <c r="E23" s="3">
        <v>0.5</v>
      </c>
      <c r="F23" s="31"/>
      <c r="G23" s="30">
        <f t="shared" si="0"/>
        <v>0.5</v>
      </c>
      <c r="H23" s="3" t="s">
        <v>609</v>
      </c>
      <c r="I23" s="3" t="s">
        <v>626</v>
      </c>
      <c r="J23" s="3" t="s">
        <v>611</v>
      </c>
    </row>
    <row r="24" spans="1:10" ht="21.75" customHeight="1" x14ac:dyDescent="0.35">
      <c r="A24" s="5" t="s">
        <v>625</v>
      </c>
      <c r="B24" s="5" t="s">
        <v>87</v>
      </c>
      <c r="C24" s="5" t="s">
        <v>89</v>
      </c>
      <c r="D24" s="5" t="s">
        <v>632</v>
      </c>
      <c r="E24" s="5">
        <v>0.5</v>
      </c>
      <c r="F24" s="31"/>
      <c r="G24" s="30">
        <f t="shared" si="0"/>
        <v>0.5</v>
      </c>
      <c r="H24" s="5" t="s">
        <v>609</v>
      </c>
      <c r="I24" s="5" t="s">
        <v>626</v>
      </c>
      <c r="J24" s="5" t="s">
        <v>611</v>
      </c>
    </row>
    <row r="25" spans="1:10" ht="21.75" customHeight="1" x14ac:dyDescent="0.35">
      <c r="A25" s="3" t="s">
        <v>625</v>
      </c>
      <c r="B25" s="3" t="s">
        <v>87</v>
      </c>
      <c r="C25" s="3" t="s">
        <v>95</v>
      </c>
      <c r="D25" s="3" t="s">
        <v>633</v>
      </c>
      <c r="E25" s="3">
        <v>0.5</v>
      </c>
      <c r="F25" s="31"/>
      <c r="G25" s="30">
        <f t="shared" si="0"/>
        <v>0.5</v>
      </c>
      <c r="H25" s="3" t="s">
        <v>609</v>
      </c>
      <c r="I25" s="3" t="s">
        <v>626</v>
      </c>
      <c r="J25" s="3" t="s">
        <v>611</v>
      </c>
    </row>
    <row r="26" spans="1:10" ht="21.75" customHeight="1" x14ac:dyDescent="0.35">
      <c r="A26" s="5" t="s">
        <v>625</v>
      </c>
      <c r="B26" s="5" t="s">
        <v>103</v>
      </c>
      <c r="C26" s="5" t="s">
        <v>105</v>
      </c>
      <c r="D26" s="5" t="s">
        <v>634</v>
      </c>
      <c r="E26" s="5">
        <v>0.5</v>
      </c>
      <c r="F26" s="31"/>
      <c r="G26" s="30">
        <f t="shared" si="0"/>
        <v>0.5</v>
      </c>
      <c r="H26" s="5" t="s">
        <v>609</v>
      </c>
      <c r="I26" s="5" t="s">
        <v>626</v>
      </c>
      <c r="J26" s="5" t="s">
        <v>611</v>
      </c>
    </row>
    <row r="27" spans="1:10" ht="21.75" customHeight="1" x14ac:dyDescent="0.35">
      <c r="A27" s="3" t="s">
        <v>625</v>
      </c>
      <c r="B27" s="3" t="s">
        <v>103</v>
      </c>
      <c r="C27" s="3" t="s">
        <v>111</v>
      </c>
      <c r="D27" s="3" t="s">
        <v>635</v>
      </c>
      <c r="E27" s="3">
        <v>0.5</v>
      </c>
      <c r="F27" s="31"/>
      <c r="G27" s="30">
        <f t="shared" si="0"/>
        <v>0.5</v>
      </c>
      <c r="H27" s="3" t="s">
        <v>609</v>
      </c>
      <c r="I27" s="3" t="s">
        <v>626</v>
      </c>
      <c r="J27" s="3" t="s">
        <v>611</v>
      </c>
    </row>
    <row r="28" spans="1:10" ht="21.75" customHeight="1" x14ac:dyDescent="0.35">
      <c r="A28" s="5" t="s">
        <v>625</v>
      </c>
      <c r="B28" s="5" t="s">
        <v>117</v>
      </c>
      <c r="C28" s="5" t="s">
        <v>119</v>
      </c>
      <c r="D28" s="5" t="s">
        <v>636</v>
      </c>
      <c r="E28" s="5">
        <v>0.5</v>
      </c>
      <c r="F28" s="31"/>
      <c r="G28" s="30">
        <f t="shared" si="0"/>
        <v>0.5</v>
      </c>
      <c r="H28" s="5" t="s">
        <v>609</v>
      </c>
      <c r="I28" s="5" t="s">
        <v>626</v>
      </c>
      <c r="J28" s="5" t="s">
        <v>611</v>
      </c>
    </row>
    <row r="29" spans="1:10" ht="21.75" customHeight="1" x14ac:dyDescent="0.35">
      <c r="A29" s="3" t="s">
        <v>625</v>
      </c>
      <c r="B29" s="3" t="s">
        <v>117</v>
      </c>
      <c r="C29" s="3" t="s">
        <v>125</v>
      </c>
      <c r="D29" s="3" t="s">
        <v>637</v>
      </c>
      <c r="E29" s="3">
        <v>0.5</v>
      </c>
      <c r="F29" s="31"/>
      <c r="G29" s="30">
        <f t="shared" si="0"/>
        <v>0.5</v>
      </c>
      <c r="H29" s="3" t="s">
        <v>609</v>
      </c>
      <c r="I29" s="3" t="s">
        <v>626</v>
      </c>
      <c r="J29" s="3" t="s">
        <v>611</v>
      </c>
    </row>
    <row r="30" spans="1:10" ht="21.75" customHeight="1" x14ac:dyDescent="0.35">
      <c r="A30" s="5" t="s">
        <v>625</v>
      </c>
      <c r="B30" s="5" t="s">
        <v>133</v>
      </c>
      <c r="C30" s="5" t="s">
        <v>135</v>
      </c>
      <c r="D30" s="5" t="s">
        <v>638</v>
      </c>
      <c r="E30" s="5">
        <v>0.5</v>
      </c>
      <c r="F30" s="31"/>
      <c r="G30" s="30">
        <f t="shared" si="0"/>
        <v>0.5</v>
      </c>
      <c r="H30" s="5" t="s">
        <v>609</v>
      </c>
      <c r="I30" s="5" t="s">
        <v>626</v>
      </c>
      <c r="J30" s="5" t="s">
        <v>611</v>
      </c>
    </row>
    <row r="31" spans="1:10" ht="21.75" customHeight="1" x14ac:dyDescent="0.35">
      <c r="A31" s="3" t="s">
        <v>625</v>
      </c>
      <c r="B31" s="3" t="s">
        <v>133</v>
      </c>
      <c r="C31" s="3" t="s">
        <v>141</v>
      </c>
      <c r="D31" s="3" t="s">
        <v>639</v>
      </c>
      <c r="E31" s="3">
        <v>0.5</v>
      </c>
      <c r="F31" s="31"/>
      <c r="G31" s="30">
        <f t="shared" si="0"/>
        <v>0.5</v>
      </c>
      <c r="H31" s="3" t="s">
        <v>609</v>
      </c>
      <c r="I31" s="3" t="s">
        <v>626</v>
      </c>
      <c r="J31" s="3" t="s">
        <v>611</v>
      </c>
    </row>
    <row r="32" spans="1:10" ht="21.75" customHeight="1" x14ac:dyDescent="0.35">
      <c r="A32" s="5" t="s">
        <v>625</v>
      </c>
      <c r="B32" s="5" t="s">
        <v>147</v>
      </c>
      <c r="C32" s="5" t="s">
        <v>149</v>
      </c>
      <c r="D32" s="5" t="s">
        <v>640</v>
      </c>
      <c r="E32" s="5">
        <v>0.5</v>
      </c>
      <c r="F32" s="31"/>
      <c r="G32" s="30">
        <f t="shared" si="0"/>
        <v>0.5</v>
      </c>
      <c r="H32" s="5" t="s">
        <v>609</v>
      </c>
      <c r="I32" s="5" t="s">
        <v>626</v>
      </c>
      <c r="J32" s="5" t="s">
        <v>611</v>
      </c>
    </row>
    <row r="33" spans="1:10" ht="21.75" customHeight="1" x14ac:dyDescent="0.35">
      <c r="A33" s="3" t="s">
        <v>625</v>
      </c>
      <c r="B33" s="3" t="s">
        <v>147</v>
      </c>
      <c r="C33" s="3" t="s">
        <v>155</v>
      </c>
      <c r="D33" s="3" t="s">
        <v>641</v>
      </c>
      <c r="E33" s="3">
        <v>0.5</v>
      </c>
      <c r="F33" s="31"/>
      <c r="G33" s="30">
        <f t="shared" si="0"/>
        <v>0.5</v>
      </c>
      <c r="H33" s="3" t="s">
        <v>609</v>
      </c>
      <c r="I33" s="3" t="s">
        <v>626</v>
      </c>
      <c r="J33" s="3" t="s">
        <v>611</v>
      </c>
    </row>
    <row r="34" spans="1:10" ht="21.75" customHeight="1" x14ac:dyDescent="0.35">
      <c r="A34" s="5" t="s">
        <v>625</v>
      </c>
      <c r="B34" s="5" t="s">
        <v>163</v>
      </c>
      <c r="C34" s="5" t="s">
        <v>165</v>
      </c>
      <c r="D34" s="5" t="s">
        <v>642</v>
      </c>
      <c r="E34" s="5">
        <v>0.5</v>
      </c>
      <c r="F34" s="31"/>
      <c r="G34" s="30">
        <f t="shared" si="0"/>
        <v>0.5</v>
      </c>
      <c r="H34" s="5" t="s">
        <v>609</v>
      </c>
      <c r="I34" s="5" t="s">
        <v>626</v>
      </c>
      <c r="J34" s="5" t="s">
        <v>611</v>
      </c>
    </row>
    <row r="35" spans="1:10" ht="21.75" customHeight="1" x14ac:dyDescent="0.35">
      <c r="A35" s="3" t="s">
        <v>625</v>
      </c>
      <c r="B35" s="3" t="s">
        <v>163</v>
      </c>
      <c r="C35" s="3" t="s">
        <v>171</v>
      </c>
      <c r="D35" s="3" t="s">
        <v>643</v>
      </c>
      <c r="E35" s="3">
        <v>0.5</v>
      </c>
      <c r="F35" s="31"/>
      <c r="G35" s="30">
        <f t="shared" si="0"/>
        <v>0.5</v>
      </c>
      <c r="H35" s="3" t="s">
        <v>609</v>
      </c>
      <c r="I35" s="3" t="s">
        <v>626</v>
      </c>
      <c r="J35" s="3" t="s">
        <v>611</v>
      </c>
    </row>
    <row r="36" spans="1:10" ht="21.75" customHeight="1" x14ac:dyDescent="0.35">
      <c r="A36" s="5" t="s">
        <v>625</v>
      </c>
      <c r="B36" s="5" t="s">
        <v>177</v>
      </c>
      <c r="C36" s="5" t="s">
        <v>179</v>
      </c>
      <c r="D36" s="5" t="s">
        <v>644</v>
      </c>
      <c r="E36" s="5">
        <v>0.5</v>
      </c>
      <c r="F36" s="31"/>
      <c r="G36" s="30">
        <f t="shared" si="0"/>
        <v>0.5</v>
      </c>
      <c r="H36" s="5" t="s">
        <v>609</v>
      </c>
      <c r="I36" s="5" t="s">
        <v>626</v>
      </c>
      <c r="J36" s="5" t="s">
        <v>611</v>
      </c>
    </row>
    <row r="37" spans="1:10" ht="21.75" customHeight="1" x14ac:dyDescent="0.35">
      <c r="A37" s="3" t="s">
        <v>625</v>
      </c>
      <c r="B37" s="3" t="s">
        <v>177</v>
      </c>
      <c r="C37" s="3" t="s">
        <v>185</v>
      </c>
      <c r="D37" s="3" t="s">
        <v>645</v>
      </c>
      <c r="E37" s="3">
        <v>0.5</v>
      </c>
      <c r="F37" s="31"/>
      <c r="G37" s="30">
        <f t="shared" si="0"/>
        <v>0.5</v>
      </c>
      <c r="H37" s="3" t="s">
        <v>609</v>
      </c>
      <c r="I37" s="3" t="s">
        <v>626</v>
      </c>
      <c r="J37" s="3" t="s">
        <v>611</v>
      </c>
    </row>
    <row r="39" spans="1:10" ht="15" customHeight="1" x14ac:dyDescent="0.35">
      <c r="A39" s="39"/>
      <c r="B39" s="36"/>
      <c r="C39" s="36"/>
      <c r="D39" s="36"/>
      <c r="E39" s="36"/>
      <c r="F39" s="36"/>
      <c r="G39" s="36"/>
      <c r="H39" s="36"/>
      <c r="I39" s="36"/>
      <c r="J39" s="36"/>
    </row>
  </sheetData>
  <autoFilter ref="A2:J2" xr:uid="{00000000-0009-0000-0000-000006000000}"/>
  <mergeCells count="2">
    <mergeCell ref="A39:J39"/>
    <mergeCell ref="A1:J1"/>
  </mergeCells>
  <dataValidations count="1">
    <dataValidation type="decimal" allowBlank="1" sqref="F3:F37" xr:uid="{00000000-0002-0000-0600-000000000000}">
      <formula1>0</formula1>
      <formula2>1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7030A0"/>
  </sheetPr>
  <dimension ref="A1:O62"/>
  <sheetViews>
    <sheetView showGridLines="0" zoomScale="41" zoomScaleNormal="100" workbookViewId="0">
      <pane ySplit="2" topLeftCell="A53" activePane="bottomLeft" state="frozen"/>
      <selection pane="bottomLeft" activeCell="P2" sqref="P2:P62"/>
    </sheetView>
  </sheetViews>
  <sheetFormatPr baseColWidth="10" defaultColWidth="8.6328125" defaultRowHeight="14.5" x14ac:dyDescent="0.35"/>
  <cols>
    <col min="1" max="1" width="12" customWidth="1"/>
    <col min="2" max="4" width="8" customWidth="1"/>
    <col min="5" max="5" width="30" customWidth="1"/>
    <col min="6" max="6" width="45" customWidth="1"/>
    <col min="7" max="7" width="60" customWidth="1"/>
    <col min="8" max="8" width="14" customWidth="1"/>
    <col min="9" max="9" width="20" customWidth="1"/>
    <col min="10" max="10" width="30" customWidth="1"/>
    <col min="11" max="13" width="25" customWidth="1"/>
    <col min="14" max="14" width="20" customWidth="1"/>
    <col min="15" max="15" width="30" customWidth="1"/>
  </cols>
  <sheetData>
    <row r="1" spans="1:15" ht="21.75" customHeight="1" x14ac:dyDescent="0.35">
      <c r="A1" s="37" t="s">
        <v>646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</row>
    <row r="2" spans="1:15" ht="42.75" customHeight="1" x14ac:dyDescent="0.35">
      <c r="A2" s="1" t="s">
        <v>647</v>
      </c>
      <c r="B2" s="1" t="s">
        <v>31</v>
      </c>
      <c r="C2" s="1" t="s">
        <v>33</v>
      </c>
      <c r="D2" s="1" t="s">
        <v>35</v>
      </c>
      <c r="E2" s="1" t="s">
        <v>648</v>
      </c>
      <c r="F2" s="1" t="s">
        <v>649</v>
      </c>
      <c r="G2" s="1" t="s">
        <v>650</v>
      </c>
      <c r="H2" s="1" t="s">
        <v>651</v>
      </c>
      <c r="I2" s="1" t="s">
        <v>652</v>
      </c>
      <c r="J2" s="1" t="s">
        <v>653</v>
      </c>
      <c r="K2" s="1" t="s">
        <v>654</v>
      </c>
      <c r="L2" s="1" t="s">
        <v>655</v>
      </c>
      <c r="M2" s="1" t="s">
        <v>656</v>
      </c>
      <c r="N2" s="1" t="s">
        <v>657</v>
      </c>
      <c r="O2" s="1" t="s">
        <v>658</v>
      </c>
    </row>
    <row r="3" spans="1:15" ht="45" customHeight="1" x14ac:dyDescent="0.35">
      <c r="A3" s="24" t="s">
        <v>659</v>
      </c>
      <c r="B3" s="24" t="s">
        <v>41</v>
      </c>
      <c r="C3" s="24" t="s">
        <v>43</v>
      </c>
      <c r="D3" s="24" t="s">
        <v>45</v>
      </c>
      <c r="E3" s="3" t="s">
        <v>660</v>
      </c>
      <c r="F3" s="3" t="s">
        <v>661</v>
      </c>
      <c r="G3" s="3" t="s">
        <v>662</v>
      </c>
      <c r="H3" s="3" t="s">
        <v>663</v>
      </c>
      <c r="I3" s="3" t="s">
        <v>664</v>
      </c>
      <c r="J3" s="3" t="s">
        <v>665</v>
      </c>
      <c r="K3" s="3" t="s">
        <v>666</v>
      </c>
      <c r="L3" s="3" t="s">
        <v>230</v>
      </c>
      <c r="M3" s="3" t="s">
        <v>667</v>
      </c>
      <c r="N3" s="3" t="s">
        <v>668</v>
      </c>
      <c r="O3" s="3" t="s">
        <v>669</v>
      </c>
    </row>
    <row r="4" spans="1:15" ht="45" customHeight="1" x14ac:dyDescent="0.35">
      <c r="A4" s="24" t="s">
        <v>670</v>
      </c>
      <c r="B4" s="24" t="s">
        <v>41</v>
      </c>
      <c r="C4" s="24" t="s">
        <v>43</v>
      </c>
      <c r="D4" s="24" t="s">
        <v>45</v>
      </c>
      <c r="E4" s="5" t="s">
        <v>671</v>
      </c>
      <c r="F4" s="5" t="s">
        <v>672</v>
      </c>
      <c r="G4" s="5" t="s">
        <v>673</v>
      </c>
      <c r="H4" s="5" t="s">
        <v>674</v>
      </c>
      <c r="I4" s="5" t="s">
        <v>675</v>
      </c>
      <c r="J4" s="5" t="s">
        <v>676</v>
      </c>
      <c r="K4" s="5" t="s">
        <v>677</v>
      </c>
      <c r="L4" s="5" t="s">
        <v>678</v>
      </c>
      <c r="M4" s="5" t="s">
        <v>679</v>
      </c>
      <c r="N4" s="5" t="s">
        <v>680</v>
      </c>
      <c r="O4" s="5" t="s">
        <v>681</v>
      </c>
    </row>
    <row r="5" spans="1:15" ht="45" customHeight="1" x14ac:dyDescent="0.35">
      <c r="A5" s="24" t="s">
        <v>682</v>
      </c>
      <c r="B5" s="24" t="s">
        <v>41</v>
      </c>
      <c r="C5" s="24" t="s">
        <v>43</v>
      </c>
      <c r="D5" s="24" t="s">
        <v>45</v>
      </c>
      <c r="E5" s="3" t="s">
        <v>683</v>
      </c>
      <c r="F5" s="3" t="s">
        <v>684</v>
      </c>
      <c r="G5" s="3" t="s">
        <v>685</v>
      </c>
      <c r="H5" s="3" t="s">
        <v>663</v>
      </c>
      <c r="I5" s="3" t="s">
        <v>686</v>
      </c>
      <c r="J5" s="3" t="s">
        <v>687</v>
      </c>
      <c r="K5" s="3" t="s">
        <v>688</v>
      </c>
      <c r="L5" s="3" t="s">
        <v>689</v>
      </c>
      <c r="M5" s="3" t="s">
        <v>690</v>
      </c>
      <c r="N5" s="3" t="s">
        <v>691</v>
      </c>
      <c r="O5" s="3" t="s">
        <v>692</v>
      </c>
    </row>
    <row r="6" spans="1:15" ht="45" customHeight="1" x14ac:dyDescent="0.35">
      <c r="A6" s="24" t="s">
        <v>693</v>
      </c>
      <c r="B6" s="24" t="s">
        <v>41</v>
      </c>
      <c r="C6" s="24" t="s">
        <v>43</v>
      </c>
      <c r="D6" s="24" t="s">
        <v>51</v>
      </c>
      <c r="E6" s="5" t="s">
        <v>694</v>
      </c>
      <c r="F6" s="5" t="s">
        <v>695</v>
      </c>
      <c r="G6" s="5" t="s">
        <v>696</v>
      </c>
      <c r="H6" s="5" t="s">
        <v>663</v>
      </c>
      <c r="I6" s="5" t="s">
        <v>697</v>
      </c>
      <c r="J6" s="5" t="s">
        <v>698</v>
      </c>
      <c r="K6" s="5" t="s">
        <v>699</v>
      </c>
      <c r="L6" s="5" t="s">
        <v>689</v>
      </c>
      <c r="M6" s="5" t="s">
        <v>700</v>
      </c>
      <c r="N6" s="5" t="s">
        <v>701</v>
      </c>
      <c r="O6" s="5" t="s">
        <v>702</v>
      </c>
    </row>
    <row r="7" spans="1:15" ht="45" customHeight="1" x14ac:dyDescent="0.35">
      <c r="A7" s="24" t="s">
        <v>703</v>
      </c>
      <c r="B7" s="24" t="s">
        <v>41</v>
      </c>
      <c r="C7" s="24" t="s">
        <v>43</v>
      </c>
      <c r="D7" s="24" t="s">
        <v>51</v>
      </c>
      <c r="E7" s="3" t="s">
        <v>704</v>
      </c>
      <c r="F7" s="3" t="s">
        <v>705</v>
      </c>
      <c r="G7" s="3" t="s">
        <v>706</v>
      </c>
      <c r="H7" s="3" t="s">
        <v>663</v>
      </c>
      <c r="I7" s="3" t="s">
        <v>707</v>
      </c>
      <c r="J7" s="3" t="s">
        <v>698</v>
      </c>
      <c r="K7" s="3" t="s">
        <v>708</v>
      </c>
      <c r="L7" s="3" t="s">
        <v>709</v>
      </c>
      <c r="M7" s="3" t="s">
        <v>710</v>
      </c>
      <c r="N7" s="3" t="s">
        <v>711</v>
      </c>
      <c r="O7" s="3" t="s">
        <v>712</v>
      </c>
    </row>
    <row r="8" spans="1:15" ht="45" customHeight="1" x14ac:dyDescent="0.35">
      <c r="A8" s="24" t="s">
        <v>713</v>
      </c>
      <c r="B8" s="24" t="s">
        <v>41</v>
      </c>
      <c r="C8" s="24" t="s">
        <v>43</v>
      </c>
      <c r="D8" s="24" t="s">
        <v>51</v>
      </c>
      <c r="E8" s="5" t="s">
        <v>714</v>
      </c>
      <c r="F8" s="5" t="s">
        <v>715</v>
      </c>
      <c r="G8" s="5" t="s">
        <v>716</v>
      </c>
      <c r="H8" s="5" t="s">
        <v>674</v>
      </c>
      <c r="I8" s="5" t="s">
        <v>675</v>
      </c>
      <c r="J8" s="5" t="s">
        <v>717</v>
      </c>
      <c r="K8" s="5" t="s">
        <v>708</v>
      </c>
      <c r="L8" s="5" t="s">
        <v>718</v>
      </c>
      <c r="M8" s="5" t="s">
        <v>719</v>
      </c>
      <c r="N8" s="5" t="s">
        <v>720</v>
      </c>
      <c r="O8" s="5" t="s">
        <v>721</v>
      </c>
    </row>
    <row r="9" spans="1:15" ht="45" customHeight="1" x14ac:dyDescent="0.35">
      <c r="A9" s="24" t="s">
        <v>722</v>
      </c>
      <c r="B9" s="24" t="s">
        <v>41</v>
      </c>
      <c r="C9" s="24" t="s">
        <v>57</v>
      </c>
      <c r="D9" s="24" t="s">
        <v>59</v>
      </c>
      <c r="E9" s="3" t="s">
        <v>723</v>
      </c>
      <c r="F9" s="3" t="s">
        <v>724</v>
      </c>
      <c r="G9" s="3" t="s">
        <v>725</v>
      </c>
      <c r="H9" s="3" t="s">
        <v>674</v>
      </c>
      <c r="I9" s="3" t="s">
        <v>726</v>
      </c>
      <c r="J9" s="3" t="s">
        <v>727</v>
      </c>
      <c r="K9" s="3" t="s">
        <v>728</v>
      </c>
      <c r="L9" s="3" t="s">
        <v>689</v>
      </c>
      <c r="M9" s="3" t="s">
        <v>729</v>
      </c>
      <c r="N9" s="3" t="s">
        <v>730</v>
      </c>
      <c r="O9" s="3" t="s">
        <v>731</v>
      </c>
    </row>
    <row r="10" spans="1:15" ht="45" customHeight="1" x14ac:dyDescent="0.35">
      <c r="A10" s="24" t="s">
        <v>732</v>
      </c>
      <c r="B10" s="24" t="s">
        <v>41</v>
      </c>
      <c r="C10" s="24" t="s">
        <v>57</v>
      </c>
      <c r="D10" s="24" t="s">
        <v>59</v>
      </c>
      <c r="E10" s="5" t="s">
        <v>733</v>
      </c>
      <c r="F10" s="5" t="s">
        <v>734</v>
      </c>
      <c r="G10" s="5" t="s">
        <v>735</v>
      </c>
      <c r="H10" s="5" t="s">
        <v>674</v>
      </c>
      <c r="I10" s="5" t="s">
        <v>736</v>
      </c>
      <c r="J10" s="5" t="s">
        <v>737</v>
      </c>
      <c r="K10" s="5" t="s">
        <v>738</v>
      </c>
      <c r="L10" s="5" t="s">
        <v>739</v>
      </c>
      <c r="M10" s="5" t="s">
        <v>740</v>
      </c>
      <c r="N10" s="5" t="s">
        <v>741</v>
      </c>
      <c r="O10" s="5" t="s">
        <v>742</v>
      </c>
    </row>
    <row r="11" spans="1:15" ht="45" customHeight="1" x14ac:dyDescent="0.35">
      <c r="A11" s="24" t="s">
        <v>743</v>
      </c>
      <c r="B11" s="24" t="s">
        <v>41</v>
      </c>
      <c r="C11" s="24" t="s">
        <v>57</v>
      </c>
      <c r="D11" s="24" t="s">
        <v>59</v>
      </c>
      <c r="E11" s="3" t="s">
        <v>744</v>
      </c>
      <c r="F11" s="3" t="s">
        <v>745</v>
      </c>
      <c r="G11" s="3" t="s">
        <v>746</v>
      </c>
      <c r="H11" s="3" t="s">
        <v>674</v>
      </c>
      <c r="I11" s="3" t="s">
        <v>747</v>
      </c>
      <c r="J11" s="3" t="s">
        <v>676</v>
      </c>
      <c r="K11" s="3" t="s">
        <v>748</v>
      </c>
      <c r="L11" s="3" t="s">
        <v>689</v>
      </c>
      <c r="M11" s="3" t="s">
        <v>749</v>
      </c>
      <c r="N11" s="3" t="s">
        <v>750</v>
      </c>
      <c r="O11" s="3" t="s">
        <v>751</v>
      </c>
    </row>
    <row r="12" spans="1:15" ht="45" customHeight="1" x14ac:dyDescent="0.35">
      <c r="A12" s="24" t="s">
        <v>752</v>
      </c>
      <c r="B12" s="24" t="s">
        <v>41</v>
      </c>
      <c r="C12" s="24" t="s">
        <v>57</v>
      </c>
      <c r="D12" s="24" t="s">
        <v>65</v>
      </c>
      <c r="E12" s="5" t="s">
        <v>753</v>
      </c>
      <c r="F12" s="5" t="s">
        <v>754</v>
      </c>
      <c r="G12" s="5" t="s">
        <v>755</v>
      </c>
      <c r="H12" s="5" t="s">
        <v>663</v>
      </c>
      <c r="I12" s="5" t="s">
        <v>697</v>
      </c>
      <c r="J12" s="5" t="s">
        <v>756</v>
      </c>
      <c r="K12" s="5" t="s">
        <v>757</v>
      </c>
      <c r="L12" s="5" t="s">
        <v>758</v>
      </c>
      <c r="M12" s="5" t="s">
        <v>759</v>
      </c>
      <c r="N12" s="5" t="s">
        <v>760</v>
      </c>
      <c r="O12" s="5" t="s">
        <v>761</v>
      </c>
    </row>
    <row r="13" spans="1:15" ht="45" customHeight="1" x14ac:dyDescent="0.35">
      <c r="A13" s="24" t="s">
        <v>762</v>
      </c>
      <c r="B13" s="24" t="s">
        <v>41</v>
      </c>
      <c r="C13" s="24" t="s">
        <v>57</v>
      </c>
      <c r="D13" s="24" t="s">
        <v>65</v>
      </c>
      <c r="E13" s="3" t="s">
        <v>763</v>
      </c>
      <c r="F13" s="3" t="s">
        <v>764</v>
      </c>
      <c r="G13" s="3" t="s">
        <v>765</v>
      </c>
      <c r="H13" s="3" t="s">
        <v>674</v>
      </c>
      <c r="I13" s="3" t="s">
        <v>766</v>
      </c>
      <c r="J13" s="3" t="s">
        <v>767</v>
      </c>
      <c r="K13" s="3" t="s">
        <v>768</v>
      </c>
      <c r="L13" s="3" t="s">
        <v>769</v>
      </c>
      <c r="M13" s="3" t="s">
        <v>770</v>
      </c>
      <c r="N13" s="3" t="s">
        <v>771</v>
      </c>
      <c r="O13" s="3" t="s">
        <v>772</v>
      </c>
    </row>
    <row r="14" spans="1:15" ht="45" customHeight="1" x14ac:dyDescent="0.35">
      <c r="A14" s="24" t="s">
        <v>773</v>
      </c>
      <c r="B14" s="24" t="s">
        <v>41</v>
      </c>
      <c r="C14" s="24" t="s">
        <v>57</v>
      </c>
      <c r="D14" s="24" t="s">
        <v>65</v>
      </c>
      <c r="E14" s="5" t="s">
        <v>774</v>
      </c>
      <c r="F14" s="5" t="s">
        <v>775</v>
      </c>
      <c r="G14" s="5" t="s">
        <v>776</v>
      </c>
      <c r="H14" s="5" t="s">
        <v>663</v>
      </c>
      <c r="I14" s="5" t="s">
        <v>707</v>
      </c>
      <c r="J14" s="5" t="s">
        <v>676</v>
      </c>
      <c r="K14" s="5" t="s">
        <v>768</v>
      </c>
      <c r="L14" s="5" t="s">
        <v>777</v>
      </c>
      <c r="M14" s="5" t="s">
        <v>778</v>
      </c>
      <c r="N14" s="5" t="s">
        <v>779</v>
      </c>
      <c r="O14" s="5" t="s">
        <v>780</v>
      </c>
    </row>
    <row r="15" spans="1:15" ht="45" customHeight="1" x14ac:dyDescent="0.35">
      <c r="A15" s="32" t="s">
        <v>781</v>
      </c>
      <c r="B15" s="32" t="s">
        <v>71</v>
      </c>
      <c r="C15" s="32" t="s">
        <v>73</v>
      </c>
      <c r="D15" s="32" t="s">
        <v>75</v>
      </c>
      <c r="E15" s="3" t="s">
        <v>782</v>
      </c>
      <c r="F15" s="3" t="s">
        <v>783</v>
      </c>
      <c r="G15" s="3" t="s">
        <v>784</v>
      </c>
      <c r="H15" s="3" t="s">
        <v>663</v>
      </c>
      <c r="I15" s="3" t="s">
        <v>664</v>
      </c>
      <c r="J15" s="3" t="s">
        <v>727</v>
      </c>
      <c r="K15" s="3" t="s">
        <v>785</v>
      </c>
      <c r="L15" s="3" t="s">
        <v>230</v>
      </c>
      <c r="M15" s="3" t="s">
        <v>786</v>
      </c>
      <c r="N15" s="3" t="s">
        <v>787</v>
      </c>
      <c r="O15" s="3" t="s">
        <v>788</v>
      </c>
    </row>
    <row r="16" spans="1:15" ht="45" customHeight="1" x14ac:dyDescent="0.35">
      <c r="A16" s="32" t="s">
        <v>789</v>
      </c>
      <c r="B16" s="32" t="s">
        <v>71</v>
      </c>
      <c r="C16" s="32" t="s">
        <v>73</v>
      </c>
      <c r="D16" s="32" t="s">
        <v>75</v>
      </c>
      <c r="E16" s="5" t="s">
        <v>790</v>
      </c>
      <c r="F16" s="5" t="s">
        <v>791</v>
      </c>
      <c r="G16" s="5" t="s">
        <v>792</v>
      </c>
      <c r="H16" s="5" t="s">
        <v>674</v>
      </c>
      <c r="I16" s="5" t="s">
        <v>726</v>
      </c>
      <c r="J16" s="5" t="s">
        <v>727</v>
      </c>
      <c r="K16" s="5" t="s">
        <v>793</v>
      </c>
      <c r="L16" s="5" t="s">
        <v>794</v>
      </c>
      <c r="M16" s="5" t="s">
        <v>795</v>
      </c>
      <c r="N16" s="5" t="s">
        <v>796</v>
      </c>
      <c r="O16" s="5" t="s">
        <v>797</v>
      </c>
    </row>
    <row r="17" spans="1:15" ht="45" customHeight="1" x14ac:dyDescent="0.35">
      <c r="A17" s="32" t="s">
        <v>798</v>
      </c>
      <c r="B17" s="32" t="s">
        <v>71</v>
      </c>
      <c r="C17" s="32" t="s">
        <v>73</v>
      </c>
      <c r="D17" s="32" t="s">
        <v>75</v>
      </c>
      <c r="E17" s="3" t="s">
        <v>799</v>
      </c>
      <c r="F17" s="3" t="s">
        <v>800</v>
      </c>
      <c r="G17" s="3" t="s">
        <v>801</v>
      </c>
      <c r="H17" s="3" t="s">
        <v>663</v>
      </c>
      <c r="I17" s="3" t="s">
        <v>802</v>
      </c>
      <c r="J17" s="3" t="s">
        <v>803</v>
      </c>
      <c r="K17" s="3" t="s">
        <v>804</v>
      </c>
      <c r="L17" s="3" t="s">
        <v>805</v>
      </c>
      <c r="M17" s="3" t="s">
        <v>806</v>
      </c>
      <c r="N17" s="3" t="s">
        <v>807</v>
      </c>
      <c r="O17" s="3" t="s">
        <v>808</v>
      </c>
    </row>
    <row r="18" spans="1:15" ht="45" customHeight="1" x14ac:dyDescent="0.35">
      <c r="A18" s="32" t="s">
        <v>809</v>
      </c>
      <c r="B18" s="32" t="s">
        <v>71</v>
      </c>
      <c r="C18" s="32" t="s">
        <v>73</v>
      </c>
      <c r="D18" s="32" t="s">
        <v>81</v>
      </c>
      <c r="E18" s="5" t="s">
        <v>810</v>
      </c>
      <c r="F18" s="5" t="s">
        <v>811</v>
      </c>
      <c r="G18" s="5" t="s">
        <v>812</v>
      </c>
      <c r="H18" s="5" t="s">
        <v>674</v>
      </c>
      <c r="I18" s="5" t="s">
        <v>726</v>
      </c>
      <c r="J18" s="5" t="s">
        <v>813</v>
      </c>
      <c r="K18" s="5" t="s">
        <v>814</v>
      </c>
      <c r="L18" s="5" t="s">
        <v>794</v>
      </c>
      <c r="M18" s="5" t="s">
        <v>815</v>
      </c>
      <c r="N18" s="5" t="s">
        <v>816</v>
      </c>
      <c r="O18" s="5" t="s">
        <v>817</v>
      </c>
    </row>
    <row r="19" spans="1:15" ht="45" customHeight="1" x14ac:dyDescent="0.35">
      <c r="A19" s="32" t="s">
        <v>818</v>
      </c>
      <c r="B19" s="32" t="s">
        <v>71</v>
      </c>
      <c r="C19" s="32" t="s">
        <v>73</v>
      </c>
      <c r="D19" s="32" t="s">
        <v>81</v>
      </c>
      <c r="E19" s="3" t="s">
        <v>819</v>
      </c>
      <c r="F19" s="3" t="s">
        <v>820</v>
      </c>
      <c r="G19" s="3" t="s">
        <v>821</v>
      </c>
      <c r="H19" s="3" t="s">
        <v>674</v>
      </c>
      <c r="I19" s="3" t="s">
        <v>766</v>
      </c>
      <c r="J19" s="3" t="s">
        <v>822</v>
      </c>
      <c r="K19" s="3" t="s">
        <v>823</v>
      </c>
      <c r="L19" s="3" t="s">
        <v>824</v>
      </c>
      <c r="M19" s="3" t="s">
        <v>825</v>
      </c>
      <c r="N19" s="3" t="s">
        <v>826</v>
      </c>
      <c r="O19" s="3" t="s">
        <v>827</v>
      </c>
    </row>
    <row r="20" spans="1:15" ht="45" customHeight="1" x14ac:dyDescent="0.35">
      <c r="A20" s="32" t="s">
        <v>828</v>
      </c>
      <c r="B20" s="32" t="s">
        <v>71</v>
      </c>
      <c r="C20" s="32" t="s">
        <v>73</v>
      </c>
      <c r="D20" s="32" t="s">
        <v>81</v>
      </c>
      <c r="E20" s="5" t="s">
        <v>829</v>
      </c>
      <c r="F20" s="5" t="s">
        <v>830</v>
      </c>
      <c r="G20" s="5" t="s">
        <v>831</v>
      </c>
      <c r="H20" s="5" t="s">
        <v>674</v>
      </c>
      <c r="I20" s="5" t="s">
        <v>726</v>
      </c>
      <c r="J20" s="5" t="s">
        <v>832</v>
      </c>
      <c r="K20" s="5" t="s">
        <v>833</v>
      </c>
      <c r="L20" s="5" t="s">
        <v>834</v>
      </c>
      <c r="M20" s="5" t="s">
        <v>835</v>
      </c>
      <c r="N20" s="5" t="s">
        <v>836</v>
      </c>
      <c r="O20" s="5" t="s">
        <v>837</v>
      </c>
    </row>
    <row r="21" spans="1:15" ht="45" customHeight="1" x14ac:dyDescent="0.35">
      <c r="A21" s="32" t="s">
        <v>838</v>
      </c>
      <c r="B21" s="32" t="s">
        <v>71</v>
      </c>
      <c r="C21" s="32" t="s">
        <v>87</v>
      </c>
      <c r="D21" s="32" t="s">
        <v>89</v>
      </c>
      <c r="E21" s="3" t="s">
        <v>839</v>
      </c>
      <c r="F21" s="3" t="s">
        <v>840</v>
      </c>
      <c r="G21" s="3" t="s">
        <v>841</v>
      </c>
      <c r="H21" s="3" t="s">
        <v>663</v>
      </c>
      <c r="I21" s="3" t="s">
        <v>664</v>
      </c>
      <c r="J21" s="3" t="s">
        <v>842</v>
      </c>
      <c r="K21" s="3" t="s">
        <v>843</v>
      </c>
      <c r="L21" s="3" t="s">
        <v>689</v>
      </c>
      <c r="M21" s="3" t="s">
        <v>844</v>
      </c>
      <c r="N21" s="3" t="s">
        <v>845</v>
      </c>
      <c r="O21" s="3" t="s">
        <v>846</v>
      </c>
    </row>
    <row r="22" spans="1:15" ht="45" customHeight="1" x14ac:dyDescent="0.35">
      <c r="A22" s="32" t="s">
        <v>847</v>
      </c>
      <c r="B22" s="32" t="s">
        <v>71</v>
      </c>
      <c r="C22" s="32" t="s">
        <v>87</v>
      </c>
      <c r="D22" s="32" t="s">
        <v>89</v>
      </c>
      <c r="E22" s="5" t="s">
        <v>848</v>
      </c>
      <c r="F22" s="5" t="s">
        <v>849</v>
      </c>
      <c r="G22" s="5" t="s">
        <v>850</v>
      </c>
      <c r="H22" s="5" t="s">
        <v>674</v>
      </c>
      <c r="I22" s="5" t="s">
        <v>851</v>
      </c>
      <c r="J22" s="5" t="s">
        <v>852</v>
      </c>
      <c r="K22" s="5" t="s">
        <v>853</v>
      </c>
      <c r="L22" s="5" t="s">
        <v>854</v>
      </c>
      <c r="M22" s="5" t="s">
        <v>855</v>
      </c>
      <c r="N22" s="5" t="s">
        <v>856</v>
      </c>
      <c r="O22" s="5" t="s">
        <v>857</v>
      </c>
    </row>
    <row r="23" spans="1:15" ht="45" customHeight="1" x14ac:dyDescent="0.35">
      <c r="A23" s="32" t="s">
        <v>858</v>
      </c>
      <c r="B23" s="32" t="s">
        <v>71</v>
      </c>
      <c r="C23" s="32" t="s">
        <v>87</v>
      </c>
      <c r="D23" s="32" t="s">
        <v>89</v>
      </c>
      <c r="E23" s="3" t="s">
        <v>859</v>
      </c>
      <c r="F23" s="3" t="s">
        <v>860</v>
      </c>
      <c r="G23" s="3" t="s">
        <v>861</v>
      </c>
      <c r="H23" s="3" t="s">
        <v>663</v>
      </c>
      <c r="I23" s="3" t="s">
        <v>802</v>
      </c>
      <c r="J23" s="3" t="s">
        <v>842</v>
      </c>
      <c r="K23" s="3" t="s">
        <v>862</v>
      </c>
      <c r="L23" s="3" t="s">
        <v>854</v>
      </c>
      <c r="M23" s="3" t="s">
        <v>863</v>
      </c>
      <c r="N23" s="3" t="s">
        <v>864</v>
      </c>
      <c r="O23" s="3" t="s">
        <v>865</v>
      </c>
    </row>
    <row r="24" spans="1:15" ht="45" customHeight="1" x14ac:dyDescent="0.35">
      <c r="A24" s="32" t="s">
        <v>866</v>
      </c>
      <c r="B24" s="32" t="s">
        <v>71</v>
      </c>
      <c r="C24" s="32" t="s">
        <v>87</v>
      </c>
      <c r="D24" s="32" t="s">
        <v>95</v>
      </c>
      <c r="E24" s="5" t="s">
        <v>867</v>
      </c>
      <c r="F24" s="5" t="s">
        <v>868</v>
      </c>
      <c r="G24" s="5" t="s">
        <v>869</v>
      </c>
      <c r="H24" s="5" t="s">
        <v>663</v>
      </c>
      <c r="I24" s="5" t="s">
        <v>697</v>
      </c>
      <c r="J24" s="5" t="s">
        <v>870</v>
      </c>
      <c r="K24" s="5" t="s">
        <v>871</v>
      </c>
      <c r="L24" s="5" t="s">
        <v>689</v>
      </c>
      <c r="M24" s="5" t="s">
        <v>872</v>
      </c>
      <c r="N24" s="5" t="s">
        <v>873</v>
      </c>
      <c r="O24" s="5" t="s">
        <v>874</v>
      </c>
    </row>
    <row r="25" spans="1:15" ht="45" customHeight="1" x14ac:dyDescent="0.35">
      <c r="A25" s="32" t="s">
        <v>875</v>
      </c>
      <c r="B25" s="32" t="s">
        <v>71</v>
      </c>
      <c r="C25" s="32" t="s">
        <v>87</v>
      </c>
      <c r="D25" s="32" t="s">
        <v>95</v>
      </c>
      <c r="E25" s="3" t="s">
        <v>876</v>
      </c>
      <c r="F25" s="3" t="s">
        <v>877</v>
      </c>
      <c r="G25" s="3" t="s">
        <v>878</v>
      </c>
      <c r="H25" s="3" t="s">
        <v>674</v>
      </c>
      <c r="I25" s="3" t="s">
        <v>879</v>
      </c>
      <c r="J25" s="3" t="s">
        <v>880</v>
      </c>
      <c r="K25" s="3" t="s">
        <v>881</v>
      </c>
      <c r="L25" s="3" t="s">
        <v>882</v>
      </c>
      <c r="M25" s="3" t="s">
        <v>883</v>
      </c>
      <c r="N25" s="3" t="s">
        <v>884</v>
      </c>
      <c r="O25" s="3" t="s">
        <v>885</v>
      </c>
    </row>
    <row r="26" spans="1:15" ht="45" customHeight="1" x14ac:dyDescent="0.35">
      <c r="A26" s="32" t="s">
        <v>886</v>
      </c>
      <c r="B26" s="32" t="s">
        <v>71</v>
      </c>
      <c r="C26" s="32" t="s">
        <v>87</v>
      </c>
      <c r="D26" s="32" t="s">
        <v>95</v>
      </c>
      <c r="E26" s="5" t="s">
        <v>887</v>
      </c>
      <c r="F26" s="5" t="s">
        <v>888</v>
      </c>
      <c r="G26" s="5" t="s">
        <v>889</v>
      </c>
      <c r="H26" s="5" t="s">
        <v>674</v>
      </c>
      <c r="I26" s="5" t="s">
        <v>890</v>
      </c>
      <c r="J26" s="5" t="s">
        <v>891</v>
      </c>
      <c r="K26" s="5" t="s">
        <v>892</v>
      </c>
      <c r="L26" s="5" t="s">
        <v>893</v>
      </c>
      <c r="M26" s="5" t="s">
        <v>894</v>
      </c>
      <c r="N26" s="5" t="s">
        <v>895</v>
      </c>
      <c r="O26" s="5" t="s">
        <v>896</v>
      </c>
    </row>
    <row r="27" spans="1:15" ht="45" customHeight="1" x14ac:dyDescent="0.35">
      <c r="A27" s="29" t="s">
        <v>897</v>
      </c>
      <c r="B27" s="29" t="s">
        <v>101</v>
      </c>
      <c r="C27" s="29" t="s">
        <v>103</v>
      </c>
      <c r="D27" s="29" t="s">
        <v>105</v>
      </c>
      <c r="E27" s="3" t="s">
        <v>898</v>
      </c>
      <c r="F27" s="3" t="s">
        <v>899</v>
      </c>
      <c r="G27" s="3" t="s">
        <v>900</v>
      </c>
      <c r="H27" s="3" t="s">
        <v>663</v>
      </c>
      <c r="I27" s="3" t="s">
        <v>901</v>
      </c>
      <c r="J27" s="3" t="s">
        <v>902</v>
      </c>
      <c r="K27" s="3" t="s">
        <v>903</v>
      </c>
      <c r="L27" s="3" t="s">
        <v>904</v>
      </c>
      <c r="M27" s="3" t="s">
        <v>905</v>
      </c>
      <c r="N27" s="3" t="s">
        <v>906</v>
      </c>
      <c r="O27" s="3" t="s">
        <v>907</v>
      </c>
    </row>
    <row r="28" spans="1:15" ht="45" customHeight="1" x14ac:dyDescent="0.35">
      <c r="A28" s="29" t="s">
        <v>908</v>
      </c>
      <c r="B28" s="29" t="s">
        <v>101</v>
      </c>
      <c r="C28" s="29" t="s">
        <v>103</v>
      </c>
      <c r="D28" s="29" t="s">
        <v>105</v>
      </c>
      <c r="E28" s="5" t="s">
        <v>909</v>
      </c>
      <c r="F28" s="5" t="s">
        <v>910</v>
      </c>
      <c r="G28" s="5" t="s">
        <v>911</v>
      </c>
      <c r="H28" s="5" t="s">
        <v>663</v>
      </c>
      <c r="I28" s="5" t="s">
        <v>747</v>
      </c>
      <c r="J28" s="5" t="s">
        <v>902</v>
      </c>
      <c r="K28" s="5" t="s">
        <v>903</v>
      </c>
      <c r="L28" s="5" t="s">
        <v>912</v>
      </c>
      <c r="M28" s="5" t="s">
        <v>913</v>
      </c>
      <c r="N28" s="5" t="s">
        <v>914</v>
      </c>
      <c r="O28" s="5" t="s">
        <v>915</v>
      </c>
    </row>
    <row r="29" spans="1:15" ht="45" customHeight="1" x14ac:dyDescent="0.35">
      <c r="A29" s="29" t="s">
        <v>916</v>
      </c>
      <c r="B29" s="29" t="s">
        <v>101</v>
      </c>
      <c r="C29" s="29" t="s">
        <v>103</v>
      </c>
      <c r="D29" s="29" t="s">
        <v>105</v>
      </c>
      <c r="E29" s="3" t="s">
        <v>917</v>
      </c>
      <c r="F29" s="3" t="s">
        <v>918</v>
      </c>
      <c r="G29" s="3" t="s">
        <v>919</v>
      </c>
      <c r="H29" s="3" t="s">
        <v>674</v>
      </c>
      <c r="I29" s="3" t="s">
        <v>920</v>
      </c>
      <c r="J29" s="3" t="s">
        <v>921</v>
      </c>
      <c r="K29" s="3" t="s">
        <v>922</v>
      </c>
      <c r="L29" s="3" t="s">
        <v>912</v>
      </c>
      <c r="M29" s="3" t="s">
        <v>923</v>
      </c>
      <c r="N29" s="3" t="s">
        <v>924</v>
      </c>
      <c r="O29" s="3" t="s">
        <v>925</v>
      </c>
    </row>
    <row r="30" spans="1:15" ht="45" customHeight="1" x14ac:dyDescent="0.35">
      <c r="A30" s="29" t="s">
        <v>926</v>
      </c>
      <c r="B30" s="29" t="s">
        <v>101</v>
      </c>
      <c r="C30" s="29" t="s">
        <v>103</v>
      </c>
      <c r="D30" s="29" t="s">
        <v>111</v>
      </c>
      <c r="E30" s="5" t="s">
        <v>927</v>
      </c>
      <c r="F30" s="5" t="s">
        <v>928</v>
      </c>
      <c r="G30" s="5" t="s">
        <v>929</v>
      </c>
      <c r="H30" s="5" t="s">
        <v>674</v>
      </c>
      <c r="I30" s="5" t="s">
        <v>930</v>
      </c>
      <c r="J30" s="5" t="s">
        <v>931</v>
      </c>
      <c r="K30" s="5" t="s">
        <v>932</v>
      </c>
      <c r="L30" s="5" t="s">
        <v>912</v>
      </c>
      <c r="M30" s="5" t="s">
        <v>933</v>
      </c>
      <c r="N30" s="5" t="s">
        <v>934</v>
      </c>
      <c r="O30" s="5" t="s">
        <v>935</v>
      </c>
    </row>
    <row r="31" spans="1:15" ht="45" customHeight="1" x14ac:dyDescent="0.35">
      <c r="A31" s="29" t="s">
        <v>936</v>
      </c>
      <c r="B31" s="29" t="s">
        <v>101</v>
      </c>
      <c r="C31" s="29" t="s">
        <v>103</v>
      </c>
      <c r="D31" s="29" t="s">
        <v>111</v>
      </c>
      <c r="E31" s="3" t="s">
        <v>937</v>
      </c>
      <c r="F31" s="3" t="s">
        <v>938</v>
      </c>
      <c r="G31" s="3" t="s">
        <v>939</v>
      </c>
      <c r="H31" s="3" t="s">
        <v>674</v>
      </c>
      <c r="I31" s="3" t="s">
        <v>940</v>
      </c>
      <c r="J31" s="3" t="s">
        <v>941</v>
      </c>
      <c r="K31" s="3" t="s">
        <v>942</v>
      </c>
      <c r="L31" s="3" t="s">
        <v>943</v>
      </c>
      <c r="M31" s="3" t="s">
        <v>944</v>
      </c>
      <c r="N31" s="3" t="s">
        <v>945</v>
      </c>
      <c r="O31" s="3" t="s">
        <v>946</v>
      </c>
    </row>
    <row r="32" spans="1:15" ht="45" customHeight="1" x14ac:dyDescent="0.35">
      <c r="A32" s="29" t="s">
        <v>947</v>
      </c>
      <c r="B32" s="29" t="s">
        <v>101</v>
      </c>
      <c r="C32" s="29" t="s">
        <v>103</v>
      </c>
      <c r="D32" s="29" t="s">
        <v>111</v>
      </c>
      <c r="E32" s="5" t="s">
        <v>948</v>
      </c>
      <c r="F32" s="5" t="s">
        <v>949</v>
      </c>
      <c r="G32" s="5" t="s">
        <v>950</v>
      </c>
      <c r="H32" s="5" t="s">
        <v>663</v>
      </c>
      <c r="I32" s="5" t="s">
        <v>951</v>
      </c>
      <c r="J32" s="5" t="s">
        <v>941</v>
      </c>
      <c r="K32" s="5" t="s">
        <v>952</v>
      </c>
      <c r="L32" s="5" t="s">
        <v>943</v>
      </c>
      <c r="M32" s="5" t="s">
        <v>953</v>
      </c>
      <c r="N32" s="5" t="s">
        <v>954</v>
      </c>
      <c r="O32" s="5" t="s">
        <v>955</v>
      </c>
    </row>
    <row r="33" spans="1:15" ht="45" customHeight="1" x14ac:dyDescent="0.35">
      <c r="A33" s="29" t="s">
        <v>956</v>
      </c>
      <c r="B33" s="29" t="s">
        <v>101</v>
      </c>
      <c r="C33" s="29" t="s">
        <v>117</v>
      </c>
      <c r="D33" s="29" t="s">
        <v>119</v>
      </c>
      <c r="E33" s="3" t="s">
        <v>957</v>
      </c>
      <c r="F33" s="3" t="s">
        <v>958</v>
      </c>
      <c r="G33" s="3" t="s">
        <v>959</v>
      </c>
      <c r="H33" s="3" t="s">
        <v>663</v>
      </c>
      <c r="I33" s="3" t="s">
        <v>766</v>
      </c>
      <c r="J33" s="3" t="s">
        <v>960</v>
      </c>
      <c r="K33" s="3" t="s">
        <v>961</v>
      </c>
      <c r="L33" s="3" t="s">
        <v>912</v>
      </c>
      <c r="M33" s="3" t="s">
        <v>962</v>
      </c>
      <c r="N33" s="3" t="s">
        <v>963</v>
      </c>
      <c r="O33" s="3" t="s">
        <v>964</v>
      </c>
    </row>
    <row r="34" spans="1:15" ht="45" customHeight="1" x14ac:dyDescent="0.35">
      <c r="A34" s="29" t="s">
        <v>965</v>
      </c>
      <c r="B34" s="29" t="s">
        <v>101</v>
      </c>
      <c r="C34" s="29" t="s">
        <v>117</v>
      </c>
      <c r="D34" s="29" t="s">
        <v>119</v>
      </c>
      <c r="E34" s="5" t="s">
        <v>966</v>
      </c>
      <c r="F34" s="5" t="s">
        <v>967</v>
      </c>
      <c r="G34" s="5" t="s">
        <v>968</v>
      </c>
      <c r="H34" s="5" t="s">
        <v>674</v>
      </c>
      <c r="I34" s="5" t="s">
        <v>969</v>
      </c>
      <c r="J34" s="5" t="s">
        <v>970</v>
      </c>
      <c r="K34" s="5" t="s">
        <v>971</v>
      </c>
      <c r="L34" s="5" t="s">
        <v>912</v>
      </c>
      <c r="M34" s="5" t="s">
        <v>972</v>
      </c>
      <c r="N34" s="5" t="s">
        <v>973</v>
      </c>
      <c r="O34" s="5" t="s">
        <v>974</v>
      </c>
    </row>
    <row r="35" spans="1:15" ht="45" customHeight="1" x14ac:dyDescent="0.35">
      <c r="A35" s="29" t="s">
        <v>975</v>
      </c>
      <c r="B35" s="29" t="s">
        <v>101</v>
      </c>
      <c r="C35" s="29" t="s">
        <v>117</v>
      </c>
      <c r="D35" s="29" t="s">
        <v>119</v>
      </c>
      <c r="E35" s="3" t="s">
        <v>976</v>
      </c>
      <c r="F35" s="3" t="s">
        <v>977</v>
      </c>
      <c r="G35" s="3" t="s">
        <v>978</v>
      </c>
      <c r="H35" s="3" t="s">
        <v>674</v>
      </c>
      <c r="I35" s="3" t="s">
        <v>979</v>
      </c>
      <c r="J35" s="3" t="s">
        <v>980</v>
      </c>
      <c r="K35" s="3" t="s">
        <v>981</v>
      </c>
      <c r="L35" s="3" t="s">
        <v>912</v>
      </c>
      <c r="M35" s="3" t="s">
        <v>982</v>
      </c>
      <c r="N35" s="3" t="s">
        <v>983</v>
      </c>
      <c r="O35" s="3" t="s">
        <v>984</v>
      </c>
    </row>
    <row r="36" spans="1:15" ht="45" customHeight="1" x14ac:dyDescent="0.35">
      <c r="A36" s="29" t="s">
        <v>985</v>
      </c>
      <c r="B36" s="29" t="s">
        <v>101</v>
      </c>
      <c r="C36" s="29" t="s">
        <v>117</v>
      </c>
      <c r="D36" s="29" t="s">
        <v>125</v>
      </c>
      <c r="E36" s="5" t="s">
        <v>986</v>
      </c>
      <c r="F36" s="5" t="s">
        <v>987</v>
      </c>
      <c r="G36" s="5" t="s">
        <v>988</v>
      </c>
      <c r="H36" s="5" t="s">
        <v>663</v>
      </c>
      <c r="I36" s="5" t="s">
        <v>989</v>
      </c>
      <c r="J36" s="5" t="s">
        <v>990</v>
      </c>
      <c r="K36" s="5" t="s">
        <v>991</v>
      </c>
      <c r="L36" s="5" t="s">
        <v>992</v>
      </c>
      <c r="M36" s="5" t="s">
        <v>993</v>
      </c>
      <c r="N36" s="5" t="s">
        <v>994</v>
      </c>
      <c r="O36" s="5" t="s">
        <v>995</v>
      </c>
    </row>
    <row r="37" spans="1:15" ht="45" customHeight="1" x14ac:dyDescent="0.35">
      <c r="A37" s="29" t="s">
        <v>996</v>
      </c>
      <c r="B37" s="29" t="s">
        <v>101</v>
      </c>
      <c r="C37" s="29" t="s">
        <v>117</v>
      </c>
      <c r="D37" s="29" t="s">
        <v>125</v>
      </c>
      <c r="E37" s="3" t="s">
        <v>997</v>
      </c>
      <c r="F37" s="3" t="s">
        <v>998</v>
      </c>
      <c r="G37" s="3" t="s">
        <v>999</v>
      </c>
      <c r="H37" s="3" t="s">
        <v>674</v>
      </c>
      <c r="I37" s="3" t="s">
        <v>1000</v>
      </c>
      <c r="J37" s="3" t="s">
        <v>1001</v>
      </c>
      <c r="K37" s="3" t="s">
        <v>1002</v>
      </c>
      <c r="L37" s="3" t="s">
        <v>1003</v>
      </c>
      <c r="M37" s="3" t="s">
        <v>1004</v>
      </c>
      <c r="N37" s="3" t="s">
        <v>1005</v>
      </c>
      <c r="O37" s="3" t="s">
        <v>1006</v>
      </c>
    </row>
    <row r="38" spans="1:15" ht="45" customHeight="1" x14ac:dyDescent="0.35">
      <c r="A38" s="29" t="s">
        <v>1007</v>
      </c>
      <c r="B38" s="29" t="s">
        <v>101</v>
      </c>
      <c r="C38" s="29" t="s">
        <v>117</v>
      </c>
      <c r="D38" s="29" t="s">
        <v>125</v>
      </c>
      <c r="E38" s="5" t="s">
        <v>1008</v>
      </c>
      <c r="F38" s="5" t="s">
        <v>1009</v>
      </c>
      <c r="G38" s="5" t="s">
        <v>1010</v>
      </c>
      <c r="H38" s="5" t="s">
        <v>674</v>
      </c>
      <c r="I38" s="5" t="s">
        <v>989</v>
      </c>
      <c r="J38" s="5" t="s">
        <v>1011</v>
      </c>
      <c r="K38" s="5" t="s">
        <v>1012</v>
      </c>
      <c r="L38" s="5" t="s">
        <v>1013</v>
      </c>
      <c r="M38" s="5" t="s">
        <v>1014</v>
      </c>
      <c r="N38" s="5" t="s">
        <v>1015</v>
      </c>
      <c r="O38" s="5" t="s">
        <v>1016</v>
      </c>
    </row>
    <row r="39" spans="1:15" ht="45" customHeight="1" x14ac:dyDescent="0.35">
      <c r="A39" s="33" t="s">
        <v>1017</v>
      </c>
      <c r="B39" s="33" t="s">
        <v>131</v>
      </c>
      <c r="C39" s="33" t="s">
        <v>133</v>
      </c>
      <c r="D39" s="33" t="s">
        <v>135</v>
      </c>
      <c r="E39" s="3" t="s">
        <v>1018</v>
      </c>
      <c r="F39" s="3" t="s">
        <v>1019</v>
      </c>
      <c r="G39" s="3" t="s">
        <v>1020</v>
      </c>
      <c r="H39" s="3" t="s">
        <v>674</v>
      </c>
      <c r="I39" s="3" t="s">
        <v>890</v>
      </c>
      <c r="J39" s="3" t="s">
        <v>1021</v>
      </c>
      <c r="K39" s="3" t="s">
        <v>1022</v>
      </c>
      <c r="L39" s="3" t="s">
        <v>689</v>
      </c>
      <c r="M39" s="3" t="s">
        <v>1023</v>
      </c>
      <c r="N39" s="3" t="s">
        <v>1024</v>
      </c>
      <c r="O39" s="3" t="s">
        <v>1025</v>
      </c>
    </row>
    <row r="40" spans="1:15" ht="45" customHeight="1" x14ac:dyDescent="0.35">
      <c r="A40" s="33" t="s">
        <v>1026</v>
      </c>
      <c r="B40" s="33" t="s">
        <v>131</v>
      </c>
      <c r="C40" s="33" t="s">
        <v>133</v>
      </c>
      <c r="D40" s="33" t="s">
        <v>135</v>
      </c>
      <c r="E40" s="5" t="s">
        <v>1027</v>
      </c>
      <c r="F40" s="5" t="s">
        <v>1028</v>
      </c>
      <c r="G40" s="5" t="s">
        <v>1029</v>
      </c>
      <c r="H40" s="5" t="s">
        <v>674</v>
      </c>
      <c r="I40" s="5" t="s">
        <v>930</v>
      </c>
      <c r="J40" s="5" t="s">
        <v>1021</v>
      </c>
      <c r="K40" s="5" t="s">
        <v>1030</v>
      </c>
      <c r="L40" s="5" t="s">
        <v>1031</v>
      </c>
      <c r="M40" s="5" t="s">
        <v>1032</v>
      </c>
      <c r="N40" s="5" t="s">
        <v>1033</v>
      </c>
      <c r="O40" s="5" t="s">
        <v>1034</v>
      </c>
    </row>
    <row r="41" spans="1:15" ht="45" customHeight="1" x14ac:dyDescent="0.35">
      <c r="A41" s="33" t="s">
        <v>1035</v>
      </c>
      <c r="B41" s="33" t="s">
        <v>131</v>
      </c>
      <c r="C41" s="33" t="s">
        <v>133</v>
      </c>
      <c r="D41" s="33" t="s">
        <v>135</v>
      </c>
      <c r="E41" s="3" t="s">
        <v>1036</v>
      </c>
      <c r="F41" s="3" t="s">
        <v>1037</v>
      </c>
      <c r="G41" s="3" t="s">
        <v>1038</v>
      </c>
      <c r="H41" s="3" t="s">
        <v>674</v>
      </c>
      <c r="I41" s="3" t="s">
        <v>930</v>
      </c>
      <c r="J41" s="3" t="s">
        <v>1039</v>
      </c>
      <c r="K41" s="3" t="s">
        <v>1040</v>
      </c>
      <c r="L41" s="3" t="s">
        <v>689</v>
      </c>
      <c r="M41" s="3" t="s">
        <v>1041</v>
      </c>
      <c r="N41" s="3" t="s">
        <v>1042</v>
      </c>
      <c r="O41" s="3" t="s">
        <v>1043</v>
      </c>
    </row>
    <row r="42" spans="1:15" ht="45" customHeight="1" x14ac:dyDescent="0.35">
      <c r="A42" s="33" t="s">
        <v>1044</v>
      </c>
      <c r="B42" s="33" t="s">
        <v>131</v>
      </c>
      <c r="C42" s="33" t="s">
        <v>133</v>
      </c>
      <c r="D42" s="33" t="s">
        <v>141</v>
      </c>
      <c r="E42" s="5" t="s">
        <v>1045</v>
      </c>
      <c r="F42" s="5" t="s">
        <v>1046</v>
      </c>
      <c r="G42" s="5" t="s">
        <v>1047</v>
      </c>
      <c r="H42" s="5" t="s">
        <v>674</v>
      </c>
      <c r="I42" s="5" t="s">
        <v>989</v>
      </c>
      <c r="J42" s="5" t="s">
        <v>1048</v>
      </c>
      <c r="K42" s="5" t="s">
        <v>1049</v>
      </c>
      <c r="L42" s="5" t="s">
        <v>1050</v>
      </c>
      <c r="M42" s="5" t="s">
        <v>1051</v>
      </c>
      <c r="N42" s="5" t="s">
        <v>1052</v>
      </c>
      <c r="O42" s="5" t="s">
        <v>1053</v>
      </c>
    </row>
    <row r="43" spans="1:15" ht="45" customHeight="1" x14ac:dyDescent="0.35">
      <c r="A43" s="33" t="s">
        <v>1054</v>
      </c>
      <c r="B43" s="33" t="s">
        <v>131</v>
      </c>
      <c r="C43" s="33" t="s">
        <v>133</v>
      </c>
      <c r="D43" s="33" t="s">
        <v>141</v>
      </c>
      <c r="E43" s="3" t="s">
        <v>1055</v>
      </c>
      <c r="F43" s="3" t="s">
        <v>1056</v>
      </c>
      <c r="G43" s="3" t="s">
        <v>1057</v>
      </c>
      <c r="H43" s="3" t="s">
        <v>674</v>
      </c>
      <c r="I43" s="3" t="s">
        <v>1058</v>
      </c>
      <c r="J43" s="3" t="s">
        <v>1059</v>
      </c>
      <c r="K43" s="3" t="s">
        <v>1060</v>
      </c>
      <c r="L43" s="3" t="s">
        <v>1061</v>
      </c>
      <c r="M43" s="3" t="s">
        <v>1062</v>
      </c>
      <c r="N43" s="3" t="s">
        <v>1063</v>
      </c>
      <c r="O43" s="3" t="s">
        <v>1064</v>
      </c>
    </row>
    <row r="44" spans="1:15" ht="45" customHeight="1" x14ac:dyDescent="0.35">
      <c r="A44" s="33" t="s">
        <v>1065</v>
      </c>
      <c r="B44" s="33" t="s">
        <v>131</v>
      </c>
      <c r="C44" s="33" t="s">
        <v>133</v>
      </c>
      <c r="D44" s="33" t="s">
        <v>141</v>
      </c>
      <c r="E44" s="5" t="s">
        <v>1066</v>
      </c>
      <c r="F44" s="5" t="s">
        <v>1067</v>
      </c>
      <c r="G44" s="5" t="s">
        <v>1068</v>
      </c>
      <c r="H44" s="5" t="s">
        <v>674</v>
      </c>
      <c r="I44" s="5" t="s">
        <v>930</v>
      </c>
      <c r="J44" s="5" t="s">
        <v>1069</v>
      </c>
      <c r="K44" s="5" t="s">
        <v>1070</v>
      </c>
      <c r="L44" s="5" t="s">
        <v>1071</v>
      </c>
      <c r="M44" s="5" t="s">
        <v>1072</v>
      </c>
      <c r="N44" s="5" t="s">
        <v>1073</v>
      </c>
      <c r="O44" s="5" t="s">
        <v>1074</v>
      </c>
    </row>
    <row r="45" spans="1:15" ht="45" customHeight="1" x14ac:dyDescent="0.35">
      <c r="A45" s="33" t="s">
        <v>1075</v>
      </c>
      <c r="B45" s="33" t="s">
        <v>131</v>
      </c>
      <c r="C45" s="33" t="s">
        <v>147</v>
      </c>
      <c r="D45" s="33" t="s">
        <v>149</v>
      </c>
      <c r="E45" s="3" t="s">
        <v>1076</v>
      </c>
      <c r="F45" s="3" t="s">
        <v>1077</v>
      </c>
      <c r="G45" s="3" t="s">
        <v>1078</v>
      </c>
      <c r="H45" s="3" t="s">
        <v>674</v>
      </c>
      <c r="I45" s="3" t="s">
        <v>930</v>
      </c>
      <c r="J45" s="3" t="s">
        <v>1079</v>
      </c>
      <c r="K45" s="3" t="s">
        <v>1080</v>
      </c>
      <c r="L45" s="3" t="s">
        <v>230</v>
      </c>
      <c r="M45" s="3" t="s">
        <v>1081</v>
      </c>
      <c r="N45" s="3" t="s">
        <v>1082</v>
      </c>
      <c r="O45" s="3" t="s">
        <v>1083</v>
      </c>
    </row>
    <row r="46" spans="1:15" ht="45" customHeight="1" x14ac:dyDescent="0.35">
      <c r="A46" s="33" t="s">
        <v>1084</v>
      </c>
      <c r="B46" s="33" t="s">
        <v>131</v>
      </c>
      <c r="C46" s="33" t="s">
        <v>147</v>
      </c>
      <c r="D46" s="33" t="s">
        <v>149</v>
      </c>
      <c r="E46" s="5" t="s">
        <v>1085</v>
      </c>
      <c r="F46" s="5" t="s">
        <v>1086</v>
      </c>
      <c r="G46" s="5" t="s">
        <v>1087</v>
      </c>
      <c r="H46" s="5" t="s">
        <v>674</v>
      </c>
      <c r="I46" s="5" t="s">
        <v>1088</v>
      </c>
      <c r="J46" s="5" t="s">
        <v>1089</v>
      </c>
      <c r="K46" s="5" t="s">
        <v>1090</v>
      </c>
      <c r="L46" s="5" t="s">
        <v>1091</v>
      </c>
      <c r="M46" s="5" t="s">
        <v>1092</v>
      </c>
      <c r="N46" s="5" t="s">
        <v>1093</v>
      </c>
      <c r="O46" s="5" t="s">
        <v>1094</v>
      </c>
    </row>
    <row r="47" spans="1:15" ht="45" customHeight="1" x14ac:dyDescent="0.35">
      <c r="A47" s="33" t="s">
        <v>1095</v>
      </c>
      <c r="B47" s="33" t="s">
        <v>131</v>
      </c>
      <c r="C47" s="33" t="s">
        <v>147</v>
      </c>
      <c r="D47" s="33" t="s">
        <v>149</v>
      </c>
      <c r="E47" s="3" t="s">
        <v>1096</v>
      </c>
      <c r="F47" s="3" t="s">
        <v>1097</v>
      </c>
      <c r="G47" s="3" t="s">
        <v>1098</v>
      </c>
      <c r="H47" s="3" t="s">
        <v>674</v>
      </c>
      <c r="I47" s="3" t="s">
        <v>726</v>
      </c>
      <c r="J47" s="3" t="s">
        <v>1089</v>
      </c>
      <c r="K47" s="3" t="s">
        <v>1099</v>
      </c>
      <c r="L47" s="3" t="s">
        <v>1100</v>
      </c>
      <c r="M47" s="3" t="s">
        <v>1101</v>
      </c>
      <c r="N47" s="3" t="s">
        <v>1102</v>
      </c>
      <c r="O47" s="3" t="s">
        <v>1103</v>
      </c>
    </row>
    <row r="48" spans="1:15" ht="45" customHeight="1" x14ac:dyDescent="0.35">
      <c r="A48" s="33" t="s">
        <v>1104</v>
      </c>
      <c r="B48" s="33" t="s">
        <v>131</v>
      </c>
      <c r="C48" s="33" t="s">
        <v>147</v>
      </c>
      <c r="D48" s="33" t="s">
        <v>155</v>
      </c>
      <c r="E48" s="5" t="s">
        <v>1105</v>
      </c>
      <c r="F48" s="5" t="s">
        <v>1106</v>
      </c>
      <c r="G48" s="5" t="s">
        <v>1107</v>
      </c>
      <c r="H48" s="5" t="s">
        <v>674</v>
      </c>
      <c r="I48" s="5" t="s">
        <v>1108</v>
      </c>
      <c r="J48" s="5" t="s">
        <v>1109</v>
      </c>
      <c r="K48" s="5" t="s">
        <v>1110</v>
      </c>
      <c r="L48" s="5" t="s">
        <v>1091</v>
      </c>
      <c r="M48" s="5" t="s">
        <v>1111</v>
      </c>
      <c r="N48" s="5" t="s">
        <v>1112</v>
      </c>
      <c r="O48" s="5" t="s">
        <v>1113</v>
      </c>
    </row>
    <row r="49" spans="1:15" ht="45" customHeight="1" x14ac:dyDescent="0.35">
      <c r="A49" s="33" t="s">
        <v>1114</v>
      </c>
      <c r="B49" s="33" t="s">
        <v>131</v>
      </c>
      <c r="C49" s="33" t="s">
        <v>147</v>
      </c>
      <c r="D49" s="33" t="s">
        <v>155</v>
      </c>
      <c r="E49" s="3" t="s">
        <v>1115</v>
      </c>
      <c r="F49" s="3" t="s">
        <v>1116</v>
      </c>
      <c r="G49" s="3" t="s">
        <v>1117</v>
      </c>
      <c r="H49" s="3" t="s">
        <v>674</v>
      </c>
      <c r="I49" s="3" t="s">
        <v>930</v>
      </c>
      <c r="J49" s="3" t="s">
        <v>1118</v>
      </c>
      <c r="K49" s="3" t="s">
        <v>1119</v>
      </c>
      <c r="L49" s="3" t="s">
        <v>1091</v>
      </c>
      <c r="M49" s="3" t="s">
        <v>1120</v>
      </c>
      <c r="N49" s="3" t="s">
        <v>1121</v>
      </c>
      <c r="O49" s="3" t="s">
        <v>1122</v>
      </c>
    </row>
    <row r="50" spans="1:15" ht="45" customHeight="1" x14ac:dyDescent="0.35">
      <c r="A50" s="33" t="s">
        <v>1123</v>
      </c>
      <c r="B50" s="33" t="s">
        <v>131</v>
      </c>
      <c r="C50" s="33" t="s">
        <v>147</v>
      </c>
      <c r="D50" s="33" t="s">
        <v>155</v>
      </c>
      <c r="E50" s="5" t="s">
        <v>1124</v>
      </c>
      <c r="F50" s="5" t="s">
        <v>1125</v>
      </c>
      <c r="G50" s="5" t="s">
        <v>1126</v>
      </c>
      <c r="H50" s="5" t="s">
        <v>674</v>
      </c>
      <c r="I50" s="5" t="s">
        <v>930</v>
      </c>
      <c r="J50" s="5" t="s">
        <v>1127</v>
      </c>
      <c r="K50" s="5" t="s">
        <v>1128</v>
      </c>
      <c r="L50" s="5" t="s">
        <v>1129</v>
      </c>
      <c r="M50" s="5" t="s">
        <v>1130</v>
      </c>
      <c r="N50" s="5" t="s">
        <v>1131</v>
      </c>
      <c r="O50" s="5" t="s">
        <v>1132</v>
      </c>
    </row>
    <row r="51" spans="1:15" ht="45" customHeight="1" x14ac:dyDescent="0.35">
      <c r="A51" s="34" t="s">
        <v>1133</v>
      </c>
      <c r="B51" s="34" t="s">
        <v>161</v>
      </c>
      <c r="C51" s="34" t="s">
        <v>163</v>
      </c>
      <c r="D51" s="34" t="s">
        <v>165</v>
      </c>
      <c r="E51" s="3" t="s">
        <v>1134</v>
      </c>
      <c r="F51" s="3" t="s">
        <v>1135</v>
      </c>
      <c r="G51" s="3" t="s">
        <v>1136</v>
      </c>
      <c r="H51" s="3" t="s">
        <v>674</v>
      </c>
      <c r="I51" s="3" t="s">
        <v>726</v>
      </c>
      <c r="J51" s="3" t="s">
        <v>1137</v>
      </c>
      <c r="K51" s="3" t="s">
        <v>1138</v>
      </c>
      <c r="L51" s="3" t="s">
        <v>230</v>
      </c>
      <c r="M51" s="3" t="s">
        <v>1139</v>
      </c>
      <c r="N51" s="3" t="s">
        <v>1140</v>
      </c>
      <c r="O51" s="3" t="s">
        <v>1141</v>
      </c>
    </row>
    <row r="52" spans="1:15" ht="45" customHeight="1" x14ac:dyDescent="0.35">
      <c r="A52" s="34" t="s">
        <v>1142</v>
      </c>
      <c r="B52" s="34" t="s">
        <v>161</v>
      </c>
      <c r="C52" s="34" t="s">
        <v>163</v>
      </c>
      <c r="D52" s="34" t="s">
        <v>165</v>
      </c>
      <c r="E52" s="5" t="s">
        <v>1143</v>
      </c>
      <c r="F52" s="5" t="s">
        <v>1144</v>
      </c>
      <c r="G52" s="5" t="s">
        <v>1145</v>
      </c>
      <c r="H52" s="5" t="s">
        <v>674</v>
      </c>
      <c r="I52" s="5" t="s">
        <v>930</v>
      </c>
      <c r="J52" s="5" t="s">
        <v>1137</v>
      </c>
      <c r="K52" s="5" t="s">
        <v>1146</v>
      </c>
      <c r="L52" s="5" t="s">
        <v>1147</v>
      </c>
      <c r="M52" s="5" t="s">
        <v>1148</v>
      </c>
      <c r="N52" s="5" t="s">
        <v>1149</v>
      </c>
      <c r="O52" s="5" t="s">
        <v>1150</v>
      </c>
    </row>
    <row r="53" spans="1:15" ht="45" customHeight="1" x14ac:dyDescent="0.35">
      <c r="A53" s="34" t="s">
        <v>1151</v>
      </c>
      <c r="B53" s="34" t="s">
        <v>161</v>
      </c>
      <c r="C53" s="34" t="s">
        <v>163</v>
      </c>
      <c r="D53" s="34" t="s">
        <v>165</v>
      </c>
      <c r="E53" s="3" t="s">
        <v>1152</v>
      </c>
      <c r="F53" s="3" t="s">
        <v>1153</v>
      </c>
      <c r="G53" s="3" t="s">
        <v>1154</v>
      </c>
      <c r="H53" s="3" t="s">
        <v>674</v>
      </c>
      <c r="I53" s="3" t="s">
        <v>726</v>
      </c>
      <c r="J53" s="3" t="s">
        <v>1155</v>
      </c>
      <c r="K53" s="3" t="s">
        <v>1156</v>
      </c>
      <c r="L53" s="3" t="s">
        <v>1147</v>
      </c>
      <c r="M53" s="3" t="s">
        <v>1157</v>
      </c>
      <c r="N53" s="3" t="s">
        <v>1158</v>
      </c>
      <c r="O53" s="3" t="s">
        <v>1159</v>
      </c>
    </row>
    <row r="54" spans="1:15" ht="45" customHeight="1" x14ac:dyDescent="0.35">
      <c r="A54" s="34" t="s">
        <v>1160</v>
      </c>
      <c r="B54" s="34" t="s">
        <v>161</v>
      </c>
      <c r="C54" s="34" t="s">
        <v>163</v>
      </c>
      <c r="D54" s="34" t="s">
        <v>171</v>
      </c>
      <c r="E54" s="5" t="s">
        <v>1161</v>
      </c>
      <c r="F54" s="5" t="s">
        <v>1162</v>
      </c>
      <c r="G54" s="5" t="s">
        <v>1163</v>
      </c>
      <c r="H54" s="5" t="s">
        <v>674</v>
      </c>
      <c r="I54" s="5" t="s">
        <v>726</v>
      </c>
      <c r="J54" s="5" t="s">
        <v>1164</v>
      </c>
      <c r="K54" s="5" t="s">
        <v>1165</v>
      </c>
      <c r="L54" s="5" t="s">
        <v>1147</v>
      </c>
      <c r="M54" s="5" t="s">
        <v>1166</v>
      </c>
      <c r="N54" s="5" t="s">
        <v>1167</v>
      </c>
      <c r="O54" s="5" t="s">
        <v>1168</v>
      </c>
    </row>
    <row r="55" spans="1:15" ht="45" customHeight="1" x14ac:dyDescent="0.35">
      <c r="A55" s="34" t="s">
        <v>1169</v>
      </c>
      <c r="B55" s="34" t="s">
        <v>161</v>
      </c>
      <c r="C55" s="34" t="s">
        <v>163</v>
      </c>
      <c r="D55" s="34" t="s">
        <v>171</v>
      </c>
      <c r="E55" s="3" t="s">
        <v>1170</v>
      </c>
      <c r="F55" s="3" t="s">
        <v>1171</v>
      </c>
      <c r="G55" s="3" t="s">
        <v>1172</v>
      </c>
      <c r="H55" s="3" t="s">
        <v>674</v>
      </c>
      <c r="I55" s="3" t="s">
        <v>1173</v>
      </c>
      <c r="J55" s="3" t="s">
        <v>1174</v>
      </c>
      <c r="K55" s="3" t="s">
        <v>1175</v>
      </c>
      <c r="L55" s="3" t="s">
        <v>1176</v>
      </c>
      <c r="M55" s="3" t="s">
        <v>1177</v>
      </c>
      <c r="N55" s="3" t="s">
        <v>1178</v>
      </c>
      <c r="O55" s="3" t="s">
        <v>1179</v>
      </c>
    </row>
    <row r="56" spans="1:15" ht="45" customHeight="1" x14ac:dyDescent="0.35">
      <c r="A56" s="34" t="s">
        <v>1180</v>
      </c>
      <c r="B56" s="34" t="s">
        <v>161</v>
      </c>
      <c r="C56" s="34" t="s">
        <v>163</v>
      </c>
      <c r="D56" s="34" t="s">
        <v>171</v>
      </c>
      <c r="E56" s="5" t="s">
        <v>1181</v>
      </c>
      <c r="F56" s="5" t="s">
        <v>1182</v>
      </c>
      <c r="G56" s="5" t="s">
        <v>1183</v>
      </c>
      <c r="H56" s="5" t="s">
        <v>674</v>
      </c>
      <c r="I56" s="5" t="s">
        <v>1184</v>
      </c>
      <c r="J56" s="5" t="s">
        <v>1137</v>
      </c>
      <c r="K56" s="5" t="s">
        <v>1185</v>
      </c>
      <c r="L56" s="5" t="s">
        <v>1186</v>
      </c>
      <c r="M56" s="5" t="s">
        <v>1187</v>
      </c>
      <c r="N56" s="5" t="s">
        <v>1188</v>
      </c>
      <c r="O56" s="5" t="s">
        <v>1189</v>
      </c>
    </row>
    <row r="57" spans="1:15" ht="45" customHeight="1" x14ac:dyDescent="0.35">
      <c r="A57" s="34" t="s">
        <v>1190</v>
      </c>
      <c r="B57" s="34" t="s">
        <v>161</v>
      </c>
      <c r="C57" s="34" t="s">
        <v>177</v>
      </c>
      <c r="D57" s="34" t="s">
        <v>179</v>
      </c>
      <c r="E57" s="3" t="s">
        <v>1191</v>
      </c>
      <c r="F57" s="3" t="s">
        <v>1192</v>
      </c>
      <c r="G57" s="3" t="s">
        <v>1193</v>
      </c>
      <c r="H57" s="3" t="s">
        <v>663</v>
      </c>
      <c r="I57" s="3" t="s">
        <v>1194</v>
      </c>
      <c r="J57" s="3" t="s">
        <v>1195</v>
      </c>
      <c r="K57" s="3" t="s">
        <v>1196</v>
      </c>
      <c r="L57" s="3" t="s">
        <v>1197</v>
      </c>
      <c r="M57" s="3" t="s">
        <v>1198</v>
      </c>
      <c r="N57" s="3" t="s">
        <v>1199</v>
      </c>
      <c r="O57" s="3" t="s">
        <v>1200</v>
      </c>
    </row>
    <row r="58" spans="1:15" ht="45" customHeight="1" x14ac:dyDescent="0.35">
      <c r="A58" s="34" t="s">
        <v>1201</v>
      </c>
      <c r="B58" s="34" t="s">
        <v>161</v>
      </c>
      <c r="C58" s="34" t="s">
        <v>177</v>
      </c>
      <c r="D58" s="34" t="s">
        <v>179</v>
      </c>
      <c r="E58" s="5" t="s">
        <v>1202</v>
      </c>
      <c r="F58" s="5" t="s">
        <v>1203</v>
      </c>
      <c r="G58" s="5" t="s">
        <v>1204</v>
      </c>
      <c r="H58" s="5" t="s">
        <v>674</v>
      </c>
      <c r="I58" s="5" t="s">
        <v>1184</v>
      </c>
      <c r="J58" s="5" t="s">
        <v>1205</v>
      </c>
      <c r="K58" s="5" t="s">
        <v>1206</v>
      </c>
      <c r="L58" s="5" t="s">
        <v>1197</v>
      </c>
      <c r="M58" s="5" t="s">
        <v>1207</v>
      </c>
      <c r="N58" s="5" t="s">
        <v>1208</v>
      </c>
      <c r="O58" s="5" t="s">
        <v>1209</v>
      </c>
    </row>
    <row r="59" spans="1:15" ht="45" customHeight="1" x14ac:dyDescent="0.35">
      <c r="A59" s="34" t="s">
        <v>1210</v>
      </c>
      <c r="B59" s="34" t="s">
        <v>161</v>
      </c>
      <c r="C59" s="34" t="s">
        <v>177</v>
      </c>
      <c r="D59" s="34" t="s">
        <v>179</v>
      </c>
      <c r="E59" s="3" t="s">
        <v>1211</v>
      </c>
      <c r="F59" s="3" t="s">
        <v>1212</v>
      </c>
      <c r="G59" s="3" t="s">
        <v>1213</v>
      </c>
      <c r="H59" s="3" t="s">
        <v>674</v>
      </c>
      <c r="I59" s="3" t="s">
        <v>1214</v>
      </c>
      <c r="J59" s="3" t="s">
        <v>1215</v>
      </c>
      <c r="K59" s="3" t="s">
        <v>1216</v>
      </c>
      <c r="L59" s="3" t="s">
        <v>1197</v>
      </c>
      <c r="M59" s="3" t="s">
        <v>1217</v>
      </c>
      <c r="N59" s="3" t="s">
        <v>1218</v>
      </c>
      <c r="O59" s="3" t="s">
        <v>1219</v>
      </c>
    </row>
    <row r="60" spans="1:15" ht="45" customHeight="1" x14ac:dyDescent="0.35">
      <c r="A60" s="34" t="s">
        <v>1220</v>
      </c>
      <c r="B60" s="34" t="s">
        <v>161</v>
      </c>
      <c r="C60" s="34" t="s">
        <v>177</v>
      </c>
      <c r="D60" s="34" t="s">
        <v>185</v>
      </c>
      <c r="E60" s="5" t="s">
        <v>1221</v>
      </c>
      <c r="F60" s="5" t="s">
        <v>1222</v>
      </c>
      <c r="G60" s="5" t="s">
        <v>1223</v>
      </c>
      <c r="H60" s="5" t="s">
        <v>674</v>
      </c>
      <c r="I60" s="5" t="s">
        <v>1000</v>
      </c>
      <c r="J60" s="5" t="s">
        <v>1215</v>
      </c>
      <c r="K60" s="5" t="s">
        <v>1224</v>
      </c>
      <c r="L60" s="5" t="s">
        <v>1197</v>
      </c>
      <c r="M60" s="5" t="s">
        <v>1225</v>
      </c>
      <c r="N60" s="5" t="s">
        <v>1226</v>
      </c>
      <c r="O60" s="5" t="s">
        <v>1227</v>
      </c>
    </row>
    <row r="61" spans="1:15" ht="45" customHeight="1" x14ac:dyDescent="0.35">
      <c r="A61" s="34" t="s">
        <v>1228</v>
      </c>
      <c r="B61" s="34" t="s">
        <v>161</v>
      </c>
      <c r="C61" s="34" t="s">
        <v>177</v>
      </c>
      <c r="D61" s="34" t="s">
        <v>185</v>
      </c>
      <c r="E61" s="3" t="s">
        <v>1229</v>
      </c>
      <c r="F61" s="3" t="s">
        <v>1230</v>
      </c>
      <c r="G61" s="3" t="s">
        <v>1231</v>
      </c>
      <c r="H61" s="3" t="s">
        <v>674</v>
      </c>
      <c r="I61" s="3" t="s">
        <v>1088</v>
      </c>
      <c r="J61" s="3" t="s">
        <v>1079</v>
      </c>
      <c r="K61" s="3" t="s">
        <v>1232</v>
      </c>
      <c r="L61" s="3" t="s">
        <v>1233</v>
      </c>
      <c r="M61" s="3" t="s">
        <v>1234</v>
      </c>
      <c r="N61" s="3" t="s">
        <v>1235</v>
      </c>
      <c r="O61" s="3" t="s">
        <v>1236</v>
      </c>
    </row>
    <row r="62" spans="1:15" ht="45" customHeight="1" x14ac:dyDescent="0.35">
      <c r="A62" s="34" t="s">
        <v>1237</v>
      </c>
      <c r="B62" s="34" t="s">
        <v>161</v>
      </c>
      <c r="C62" s="34" t="s">
        <v>177</v>
      </c>
      <c r="D62" s="34" t="s">
        <v>185</v>
      </c>
      <c r="E62" s="5" t="s">
        <v>1238</v>
      </c>
      <c r="F62" s="5" t="s">
        <v>1239</v>
      </c>
      <c r="G62" s="5" t="s">
        <v>1240</v>
      </c>
      <c r="H62" s="5" t="s">
        <v>674</v>
      </c>
      <c r="I62" s="5" t="s">
        <v>1241</v>
      </c>
      <c r="J62" s="5" t="s">
        <v>1079</v>
      </c>
      <c r="K62" s="5" t="s">
        <v>1242</v>
      </c>
      <c r="L62" s="5" t="s">
        <v>1233</v>
      </c>
      <c r="M62" s="5" t="s">
        <v>1243</v>
      </c>
      <c r="N62" s="5" t="s">
        <v>1244</v>
      </c>
      <c r="O62" s="5" t="s">
        <v>1245</v>
      </c>
    </row>
  </sheetData>
  <autoFilter ref="A2:O2" xr:uid="{00000000-0009-0000-0000-000007000000}"/>
  <mergeCells count="1">
    <mergeCell ref="A1:O1"/>
  </mergeCells>
  <pageMargins left="0.75" right="0.75" top="1" bottom="1" header="0.511811023622047" footer="0.511811023622047"/>
  <pageSetup paperSize="9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7030A0"/>
  </sheetPr>
  <dimension ref="A1:L362"/>
  <sheetViews>
    <sheetView showGridLines="0" topLeftCell="E1" zoomScale="49" zoomScaleNormal="100" workbookViewId="0">
      <pane ySplit="2" topLeftCell="A283" activePane="bottomLeft" state="frozen"/>
      <selection pane="bottomLeft" activeCell="I374" sqref="I374"/>
    </sheetView>
  </sheetViews>
  <sheetFormatPr baseColWidth="10" defaultColWidth="8.6328125" defaultRowHeight="14.5" x14ac:dyDescent="0.35"/>
  <cols>
    <col min="1" max="1" width="12" customWidth="1"/>
    <col min="2" max="2" width="45" customWidth="1"/>
    <col min="3" max="3" width="6" customWidth="1"/>
    <col min="4" max="4" width="22" customWidth="1"/>
    <col min="5" max="5" width="55" customWidth="1"/>
    <col min="6" max="8" width="40" customWidth="1"/>
    <col min="9" max="9" width="35" customWidth="1"/>
    <col min="10" max="10" width="40" customWidth="1"/>
    <col min="11" max="11" width="25" customWidth="1"/>
    <col min="12" max="12" width="14" customWidth="1"/>
  </cols>
  <sheetData>
    <row r="1" spans="1:12" ht="21.75" customHeight="1" x14ac:dyDescent="0.35">
      <c r="A1" s="37" t="s">
        <v>1246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</row>
    <row r="2" spans="1:12" ht="21.75" customHeight="1" x14ac:dyDescent="0.35">
      <c r="A2" s="1" t="s">
        <v>647</v>
      </c>
      <c r="B2" s="1" t="s">
        <v>650</v>
      </c>
      <c r="C2" s="1" t="s">
        <v>1247</v>
      </c>
      <c r="D2" s="1" t="s">
        <v>1248</v>
      </c>
      <c r="E2" s="1" t="s">
        <v>1249</v>
      </c>
      <c r="F2" s="1" t="s">
        <v>1250</v>
      </c>
      <c r="G2" s="1" t="s">
        <v>226</v>
      </c>
      <c r="H2" s="1" t="s">
        <v>1251</v>
      </c>
      <c r="I2" s="1" t="s">
        <v>1252</v>
      </c>
      <c r="J2" s="1" t="s">
        <v>1253</v>
      </c>
    </row>
    <row r="3" spans="1:12" ht="49.5" customHeight="1" x14ac:dyDescent="0.35">
      <c r="A3" s="22" t="s">
        <v>659</v>
      </c>
      <c r="B3" s="23">
        <v>0</v>
      </c>
      <c r="C3" s="22" t="s">
        <v>197</v>
      </c>
      <c r="D3" s="22" t="s">
        <v>1254</v>
      </c>
      <c r="E3" s="23" t="s">
        <v>1255</v>
      </c>
      <c r="F3" s="23" t="s">
        <v>1256</v>
      </c>
      <c r="G3" s="23" t="s">
        <v>1257</v>
      </c>
      <c r="H3" s="23" t="s">
        <v>1258</v>
      </c>
      <c r="I3" s="23" t="s">
        <v>1259</v>
      </c>
      <c r="J3" s="23" t="s">
        <v>1260</v>
      </c>
    </row>
    <row r="4" spans="1:12" ht="49.5" customHeight="1" x14ac:dyDescent="0.35">
      <c r="A4" s="24" t="s">
        <v>659</v>
      </c>
      <c r="B4" s="23">
        <v>1</v>
      </c>
      <c r="C4" s="24" t="s">
        <v>201</v>
      </c>
      <c r="D4" s="24" t="s">
        <v>1261</v>
      </c>
      <c r="E4" s="23" t="s">
        <v>1262</v>
      </c>
      <c r="F4" s="23" t="s">
        <v>1263</v>
      </c>
      <c r="G4" s="23" t="s">
        <v>1264</v>
      </c>
      <c r="H4" s="23" t="s">
        <v>1265</v>
      </c>
      <c r="I4" s="23" t="s">
        <v>1266</v>
      </c>
      <c r="J4" s="23" t="s">
        <v>1267</v>
      </c>
    </row>
    <row r="5" spans="1:12" ht="49.5" customHeight="1" x14ac:dyDescent="0.35">
      <c r="A5" s="25" t="s">
        <v>659</v>
      </c>
      <c r="B5" s="23">
        <v>2</v>
      </c>
      <c r="C5" s="25" t="s">
        <v>205</v>
      </c>
      <c r="D5" s="25" t="s">
        <v>1268</v>
      </c>
      <c r="E5" s="23" t="s">
        <v>1269</v>
      </c>
      <c r="F5" s="23" t="s">
        <v>1270</v>
      </c>
      <c r="G5" s="23" t="s">
        <v>1271</v>
      </c>
      <c r="H5" s="23" t="s">
        <v>1272</v>
      </c>
      <c r="I5" s="23" t="s">
        <v>1273</v>
      </c>
      <c r="J5" s="23" t="s">
        <v>1274</v>
      </c>
    </row>
    <row r="6" spans="1:12" ht="49.5" customHeight="1" x14ac:dyDescent="0.35">
      <c r="A6" s="26" t="s">
        <v>659</v>
      </c>
      <c r="B6" s="3">
        <v>3</v>
      </c>
      <c r="C6" s="26" t="s">
        <v>209</v>
      </c>
      <c r="D6" s="26" t="s">
        <v>1275</v>
      </c>
      <c r="E6" s="3" t="s">
        <v>1276</v>
      </c>
      <c r="F6" s="3" t="s">
        <v>1277</v>
      </c>
      <c r="G6" s="3" t="s">
        <v>1278</v>
      </c>
      <c r="H6" s="3" t="s">
        <v>1279</v>
      </c>
      <c r="I6" s="3" t="s">
        <v>1280</v>
      </c>
      <c r="J6" s="3" t="s">
        <v>1281</v>
      </c>
    </row>
    <row r="7" spans="1:12" ht="49.5" customHeight="1" x14ac:dyDescent="0.35">
      <c r="A7" s="27" t="s">
        <v>659</v>
      </c>
      <c r="B7" s="3">
        <v>4</v>
      </c>
      <c r="C7" s="27" t="s">
        <v>213</v>
      </c>
      <c r="D7" s="27" t="s">
        <v>1282</v>
      </c>
      <c r="E7" s="3" t="s">
        <v>1283</v>
      </c>
      <c r="F7" s="3" t="s">
        <v>1284</v>
      </c>
      <c r="G7" s="3" t="s">
        <v>1285</v>
      </c>
      <c r="H7" s="3" t="s">
        <v>1286</v>
      </c>
      <c r="I7" s="3" t="s">
        <v>1287</v>
      </c>
      <c r="J7" s="3" t="s">
        <v>1288</v>
      </c>
    </row>
    <row r="8" spans="1:12" ht="49.5" customHeight="1" x14ac:dyDescent="0.35">
      <c r="A8" s="28" t="s">
        <v>659</v>
      </c>
      <c r="B8" s="3">
        <v>5</v>
      </c>
      <c r="C8" s="28" t="s">
        <v>217</v>
      </c>
      <c r="D8" s="28" t="s">
        <v>1289</v>
      </c>
      <c r="E8" s="3" t="s">
        <v>1290</v>
      </c>
      <c r="F8" s="3" t="s">
        <v>1291</v>
      </c>
      <c r="G8" s="3" t="s">
        <v>1292</v>
      </c>
      <c r="H8" s="3" t="s">
        <v>1293</v>
      </c>
      <c r="I8" s="3" t="s">
        <v>1294</v>
      </c>
      <c r="J8" s="3" t="s">
        <v>1295</v>
      </c>
    </row>
    <row r="9" spans="1:12" ht="49.5" customHeight="1" x14ac:dyDescent="0.35">
      <c r="A9" s="22" t="s">
        <v>670</v>
      </c>
      <c r="B9" s="3">
        <v>0</v>
      </c>
      <c r="C9" s="22" t="s">
        <v>197</v>
      </c>
      <c r="D9" s="22" t="s">
        <v>1296</v>
      </c>
      <c r="E9" s="3" t="s">
        <v>1297</v>
      </c>
      <c r="F9" s="3" t="s">
        <v>1298</v>
      </c>
      <c r="G9" s="3" t="s">
        <v>1299</v>
      </c>
      <c r="H9" s="3" t="s">
        <v>1300</v>
      </c>
      <c r="I9" s="3" t="s">
        <v>1301</v>
      </c>
      <c r="J9" s="3" t="s">
        <v>1302</v>
      </c>
    </row>
    <row r="10" spans="1:12" ht="49.5" customHeight="1" x14ac:dyDescent="0.35">
      <c r="A10" s="24" t="s">
        <v>670</v>
      </c>
      <c r="B10" s="3">
        <v>1</v>
      </c>
      <c r="C10" s="24" t="s">
        <v>201</v>
      </c>
      <c r="D10" s="24" t="s">
        <v>1303</v>
      </c>
      <c r="E10" s="3" t="s">
        <v>1304</v>
      </c>
      <c r="F10" s="3" t="s">
        <v>1305</v>
      </c>
      <c r="G10" s="3" t="s">
        <v>1306</v>
      </c>
      <c r="H10" s="3" t="s">
        <v>1307</v>
      </c>
      <c r="I10" s="3" t="s">
        <v>1308</v>
      </c>
      <c r="J10" s="3" t="s">
        <v>1309</v>
      </c>
    </row>
    <row r="11" spans="1:12" ht="49.5" customHeight="1" x14ac:dyDescent="0.35">
      <c r="A11" s="25" t="s">
        <v>670</v>
      </c>
      <c r="B11" s="3">
        <v>2</v>
      </c>
      <c r="C11" s="25" t="s">
        <v>205</v>
      </c>
      <c r="D11" s="25" t="s">
        <v>1310</v>
      </c>
      <c r="E11" s="3" t="s">
        <v>1311</v>
      </c>
      <c r="F11" s="3" t="s">
        <v>1312</v>
      </c>
      <c r="G11" s="3" t="s">
        <v>1313</v>
      </c>
      <c r="H11" s="3" t="s">
        <v>1314</v>
      </c>
      <c r="I11" s="3" t="s">
        <v>1315</v>
      </c>
      <c r="J11" s="3" t="s">
        <v>1316</v>
      </c>
    </row>
    <row r="12" spans="1:12" ht="49.5" customHeight="1" x14ac:dyDescent="0.35">
      <c r="A12" s="26" t="s">
        <v>670</v>
      </c>
      <c r="B12" s="23">
        <v>3</v>
      </c>
      <c r="C12" s="26" t="s">
        <v>209</v>
      </c>
      <c r="D12" s="26" t="s">
        <v>1317</v>
      </c>
      <c r="E12" s="23" t="s">
        <v>1318</v>
      </c>
      <c r="F12" s="23" t="s">
        <v>1319</v>
      </c>
      <c r="G12" s="23" t="s">
        <v>1320</v>
      </c>
      <c r="H12" s="23" t="s">
        <v>1321</v>
      </c>
      <c r="I12" s="23" t="s">
        <v>1322</v>
      </c>
      <c r="J12" s="23" t="s">
        <v>1323</v>
      </c>
    </row>
    <row r="13" spans="1:12" ht="49.5" customHeight="1" x14ac:dyDescent="0.35">
      <c r="A13" s="27" t="s">
        <v>670</v>
      </c>
      <c r="B13" s="23">
        <v>4</v>
      </c>
      <c r="C13" s="27" t="s">
        <v>213</v>
      </c>
      <c r="D13" s="27" t="s">
        <v>1324</v>
      </c>
      <c r="E13" s="23" t="s">
        <v>1325</v>
      </c>
      <c r="F13" s="23" t="s">
        <v>1326</v>
      </c>
      <c r="G13" s="23" t="s">
        <v>1327</v>
      </c>
      <c r="H13" s="23" t="s">
        <v>1328</v>
      </c>
      <c r="I13" s="23" t="s">
        <v>1329</v>
      </c>
      <c r="J13" s="23" t="s">
        <v>1330</v>
      </c>
    </row>
    <row r="14" spans="1:12" ht="49.5" customHeight="1" x14ac:dyDescent="0.35">
      <c r="A14" s="28" t="s">
        <v>670</v>
      </c>
      <c r="B14" s="23">
        <v>5</v>
      </c>
      <c r="C14" s="28" t="s">
        <v>217</v>
      </c>
      <c r="D14" s="28" t="s">
        <v>1331</v>
      </c>
      <c r="E14" s="23" t="s">
        <v>1332</v>
      </c>
      <c r="F14" s="23" t="s">
        <v>1333</v>
      </c>
      <c r="G14" s="23" t="s">
        <v>1334</v>
      </c>
      <c r="H14" s="23" t="s">
        <v>1335</v>
      </c>
      <c r="I14" s="23" t="s">
        <v>1294</v>
      </c>
      <c r="J14" s="23" t="s">
        <v>1336</v>
      </c>
    </row>
    <row r="15" spans="1:12" ht="49.5" customHeight="1" x14ac:dyDescent="0.35">
      <c r="A15" s="22" t="s">
        <v>682</v>
      </c>
      <c r="B15" s="23">
        <v>0</v>
      </c>
      <c r="C15" s="22" t="s">
        <v>197</v>
      </c>
      <c r="D15" s="22" t="s">
        <v>1337</v>
      </c>
      <c r="E15" s="23" t="s">
        <v>1338</v>
      </c>
      <c r="F15" s="23" t="s">
        <v>1339</v>
      </c>
      <c r="G15" s="23" t="s">
        <v>1340</v>
      </c>
      <c r="H15" s="23" t="s">
        <v>1341</v>
      </c>
      <c r="I15" s="23" t="s">
        <v>1342</v>
      </c>
      <c r="J15" s="23" t="s">
        <v>1343</v>
      </c>
    </row>
    <row r="16" spans="1:12" ht="49.5" customHeight="1" x14ac:dyDescent="0.35">
      <c r="A16" s="24" t="s">
        <v>682</v>
      </c>
      <c r="B16" s="23">
        <v>1</v>
      </c>
      <c r="C16" s="24" t="s">
        <v>201</v>
      </c>
      <c r="D16" s="24" t="s">
        <v>1344</v>
      </c>
      <c r="E16" s="23" t="s">
        <v>1345</v>
      </c>
      <c r="F16" s="23" t="s">
        <v>1346</v>
      </c>
      <c r="G16" s="23" t="s">
        <v>1347</v>
      </c>
      <c r="H16" s="23" t="s">
        <v>1348</v>
      </c>
      <c r="I16" s="23" t="s">
        <v>1349</v>
      </c>
      <c r="J16" s="23" t="s">
        <v>1350</v>
      </c>
    </row>
    <row r="17" spans="1:10" ht="49.5" customHeight="1" x14ac:dyDescent="0.35">
      <c r="A17" s="25" t="s">
        <v>682</v>
      </c>
      <c r="B17" s="23">
        <v>2</v>
      </c>
      <c r="C17" s="25" t="s">
        <v>205</v>
      </c>
      <c r="D17" s="25" t="s">
        <v>1351</v>
      </c>
      <c r="E17" s="23" t="s">
        <v>1352</v>
      </c>
      <c r="F17" s="23" t="s">
        <v>1353</v>
      </c>
      <c r="G17" s="23" t="s">
        <v>1354</v>
      </c>
      <c r="H17" s="23" t="s">
        <v>1355</v>
      </c>
      <c r="I17" s="23" t="s">
        <v>1356</v>
      </c>
      <c r="J17" s="23" t="s">
        <v>1357</v>
      </c>
    </row>
    <row r="18" spans="1:10" ht="49.5" customHeight="1" x14ac:dyDescent="0.35">
      <c r="A18" s="26" t="s">
        <v>682</v>
      </c>
      <c r="B18" s="3">
        <v>3</v>
      </c>
      <c r="C18" s="26" t="s">
        <v>209</v>
      </c>
      <c r="D18" s="26" t="s">
        <v>1358</v>
      </c>
      <c r="E18" s="3" t="s">
        <v>1359</v>
      </c>
      <c r="F18" s="3" t="s">
        <v>1360</v>
      </c>
      <c r="G18" s="3" t="s">
        <v>1361</v>
      </c>
      <c r="H18" s="3" t="s">
        <v>1362</v>
      </c>
      <c r="I18" s="3" t="s">
        <v>1363</v>
      </c>
      <c r="J18" s="3" t="s">
        <v>1364</v>
      </c>
    </row>
    <row r="19" spans="1:10" ht="49.5" customHeight="1" x14ac:dyDescent="0.35">
      <c r="A19" s="27" t="s">
        <v>682</v>
      </c>
      <c r="B19" s="3">
        <v>4</v>
      </c>
      <c r="C19" s="27" t="s">
        <v>213</v>
      </c>
      <c r="D19" s="27" t="s">
        <v>1365</v>
      </c>
      <c r="E19" s="3" t="s">
        <v>1366</v>
      </c>
      <c r="F19" s="3" t="s">
        <v>1367</v>
      </c>
      <c r="G19" s="3" t="s">
        <v>1368</v>
      </c>
      <c r="H19" s="3" t="s">
        <v>1369</v>
      </c>
      <c r="I19" s="3" t="s">
        <v>1370</v>
      </c>
      <c r="J19" s="3" t="s">
        <v>1288</v>
      </c>
    </row>
    <row r="20" spans="1:10" ht="49.5" customHeight="1" x14ac:dyDescent="0.35">
      <c r="A20" s="28" t="s">
        <v>682</v>
      </c>
      <c r="B20" s="3">
        <v>5</v>
      </c>
      <c r="C20" s="28" t="s">
        <v>217</v>
      </c>
      <c r="D20" s="28" t="s">
        <v>1371</v>
      </c>
      <c r="E20" s="3" t="s">
        <v>1372</v>
      </c>
      <c r="F20" s="3" t="s">
        <v>1373</v>
      </c>
      <c r="G20" s="3" t="s">
        <v>1374</v>
      </c>
      <c r="H20" s="3" t="s">
        <v>1375</v>
      </c>
      <c r="I20" s="3" t="s">
        <v>1376</v>
      </c>
      <c r="J20" s="3" t="s">
        <v>1336</v>
      </c>
    </row>
    <row r="21" spans="1:10" ht="49.5" customHeight="1" x14ac:dyDescent="0.35">
      <c r="A21" s="22" t="s">
        <v>693</v>
      </c>
      <c r="B21" s="3">
        <v>0</v>
      </c>
      <c r="C21" s="22" t="s">
        <v>197</v>
      </c>
      <c r="D21" s="22" t="s">
        <v>1377</v>
      </c>
      <c r="E21" s="3" t="s">
        <v>1378</v>
      </c>
      <c r="F21" s="3" t="s">
        <v>1379</v>
      </c>
      <c r="G21" s="3" t="s">
        <v>1380</v>
      </c>
      <c r="H21" s="3" t="s">
        <v>1381</v>
      </c>
      <c r="I21" s="3" t="s">
        <v>1382</v>
      </c>
      <c r="J21" s="3" t="s">
        <v>1383</v>
      </c>
    </row>
    <row r="22" spans="1:10" ht="49.5" customHeight="1" x14ac:dyDescent="0.35">
      <c r="A22" s="24" t="s">
        <v>693</v>
      </c>
      <c r="B22" s="3">
        <v>1</v>
      </c>
      <c r="C22" s="24" t="s">
        <v>201</v>
      </c>
      <c r="D22" s="24" t="s">
        <v>1384</v>
      </c>
      <c r="E22" s="3" t="s">
        <v>1385</v>
      </c>
      <c r="F22" s="3" t="s">
        <v>1386</v>
      </c>
      <c r="G22" s="3" t="s">
        <v>1387</v>
      </c>
      <c r="H22" s="3" t="s">
        <v>1388</v>
      </c>
      <c r="I22" s="3" t="s">
        <v>1389</v>
      </c>
      <c r="J22" s="3" t="s">
        <v>1390</v>
      </c>
    </row>
    <row r="23" spans="1:10" ht="49.5" customHeight="1" x14ac:dyDescent="0.35">
      <c r="A23" s="25" t="s">
        <v>693</v>
      </c>
      <c r="B23" s="3">
        <v>2</v>
      </c>
      <c r="C23" s="25" t="s">
        <v>205</v>
      </c>
      <c r="D23" s="25" t="s">
        <v>1391</v>
      </c>
      <c r="E23" s="3" t="s">
        <v>1392</v>
      </c>
      <c r="F23" s="3" t="s">
        <v>1393</v>
      </c>
      <c r="G23" s="3" t="s">
        <v>1394</v>
      </c>
      <c r="H23" s="3" t="s">
        <v>1395</v>
      </c>
      <c r="I23" s="3" t="s">
        <v>1396</v>
      </c>
      <c r="J23" s="3" t="s">
        <v>1397</v>
      </c>
    </row>
    <row r="24" spans="1:10" ht="49.5" customHeight="1" x14ac:dyDescent="0.35">
      <c r="A24" s="26" t="s">
        <v>693</v>
      </c>
      <c r="B24" s="23">
        <v>3</v>
      </c>
      <c r="C24" s="26" t="s">
        <v>209</v>
      </c>
      <c r="D24" s="26" t="s">
        <v>1398</v>
      </c>
      <c r="E24" s="23" t="s">
        <v>1399</v>
      </c>
      <c r="F24" s="23" t="s">
        <v>1400</v>
      </c>
      <c r="G24" s="23" t="s">
        <v>1401</v>
      </c>
      <c r="H24" s="23" t="s">
        <v>1402</v>
      </c>
      <c r="I24" s="23" t="s">
        <v>1403</v>
      </c>
      <c r="J24" s="23" t="s">
        <v>1404</v>
      </c>
    </row>
    <row r="25" spans="1:10" ht="49.5" customHeight="1" x14ac:dyDescent="0.35">
      <c r="A25" s="27" t="s">
        <v>693</v>
      </c>
      <c r="B25" s="23">
        <v>4</v>
      </c>
      <c r="C25" s="27" t="s">
        <v>213</v>
      </c>
      <c r="D25" s="27" t="s">
        <v>1405</v>
      </c>
      <c r="E25" s="23" t="s">
        <v>1406</v>
      </c>
      <c r="F25" s="23" t="s">
        <v>1407</v>
      </c>
      <c r="G25" s="23" t="s">
        <v>1408</v>
      </c>
      <c r="H25" s="23" t="s">
        <v>1409</v>
      </c>
      <c r="I25" s="23" t="s">
        <v>1410</v>
      </c>
      <c r="J25" s="23" t="s">
        <v>1411</v>
      </c>
    </row>
    <row r="26" spans="1:10" ht="49.5" customHeight="1" x14ac:dyDescent="0.35">
      <c r="A26" s="28" t="s">
        <v>693</v>
      </c>
      <c r="B26" s="23">
        <v>5</v>
      </c>
      <c r="C26" s="28" t="s">
        <v>217</v>
      </c>
      <c r="D26" s="28" t="s">
        <v>1412</v>
      </c>
      <c r="E26" s="23" t="s">
        <v>1413</v>
      </c>
      <c r="F26" s="23" t="s">
        <v>1414</v>
      </c>
      <c r="G26" s="23" t="s">
        <v>1415</v>
      </c>
      <c r="H26" s="23" t="s">
        <v>1416</v>
      </c>
      <c r="I26" s="23" t="s">
        <v>1417</v>
      </c>
      <c r="J26" s="23" t="s">
        <v>1336</v>
      </c>
    </row>
    <row r="27" spans="1:10" ht="49.5" customHeight="1" x14ac:dyDescent="0.35">
      <c r="A27" s="22" t="s">
        <v>703</v>
      </c>
      <c r="B27" s="23">
        <v>0</v>
      </c>
      <c r="C27" s="22" t="s">
        <v>197</v>
      </c>
      <c r="D27" s="22" t="s">
        <v>1418</v>
      </c>
      <c r="E27" s="23" t="s">
        <v>1419</v>
      </c>
      <c r="F27" s="23" t="s">
        <v>1420</v>
      </c>
      <c r="G27" s="23" t="s">
        <v>1421</v>
      </c>
      <c r="H27" s="23" t="s">
        <v>1422</v>
      </c>
      <c r="I27" s="23" t="s">
        <v>1423</v>
      </c>
      <c r="J27" s="23" t="s">
        <v>1424</v>
      </c>
    </row>
    <row r="28" spans="1:10" ht="49.5" customHeight="1" x14ac:dyDescent="0.35">
      <c r="A28" s="24" t="s">
        <v>703</v>
      </c>
      <c r="B28" s="23">
        <v>1</v>
      </c>
      <c r="C28" s="24" t="s">
        <v>201</v>
      </c>
      <c r="D28" s="24" t="s">
        <v>1425</v>
      </c>
      <c r="E28" s="23" t="s">
        <v>1426</v>
      </c>
      <c r="F28" s="23" t="s">
        <v>1427</v>
      </c>
      <c r="G28" s="23" t="s">
        <v>1428</v>
      </c>
      <c r="H28" s="23" t="s">
        <v>1429</v>
      </c>
      <c r="I28" s="23" t="s">
        <v>1430</v>
      </c>
      <c r="J28" s="23" t="s">
        <v>1431</v>
      </c>
    </row>
    <row r="29" spans="1:10" ht="49.5" customHeight="1" x14ac:dyDescent="0.35">
      <c r="A29" s="25" t="s">
        <v>703</v>
      </c>
      <c r="B29" s="23">
        <v>2</v>
      </c>
      <c r="C29" s="25" t="s">
        <v>205</v>
      </c>
      <c r="D29" s="25" t="s">
        <v>1432</v>
      </c>
      <c r="E29" s="23" t="s">
        <v>1433</v>
      </c>
      <c r="F29" s="23" t="s">
        <v>1434</v>
      </c>
      <c r="G29" s="23" t="s">
        <v>1435</v>
      </c>
      <c r="H29" s="23" t="s">
        <v>1436</v>
      </c>
      <c r="I29" s="23" t="s">
        <v>1437</v>
      </c>
      <c r="J29" s="23" t="s">
        <v>1438</v>
      </c>
    </row>
    <row r="30" spans="1:10" ht="49.5" customHeight="1" x14ac:dyDescent="0.35">
      <c r="A30" s="26" t="s">
        <v>703</v>
      </c>
      <c r="B30" s="3">
        <v>3</v>
      </c>
      <c r="C30" s="26" t="s">
        <v>209</v>
      </c>
      <c r="D30" s="26" t="s">
        <v>1439</v>
      </c>
      <c r="E30" s="3" t="s">
        <v>1440</v>
      </c>
      <c r="F30" s="3" t="s">
        <v>1441</v>
      </c>
      <c r="G30" s="3" t="s">
        <v>1442</v>
      </c>
      <c r="H30" s="3" t="s">
        <v>1443</v>
      </c>
      <c r="I30" s="3" t="s">
        <v>1444</v>
      </c>
      <c r="J30" s="3" t="s">
        <v>1445</v>
      </c>
    </row>
    <row r="31" spans="1:10" ht="49.5" customHeight="1" x14ac:dyDescent="0.35">
      <c r="A31" s="27" t="s">
        <v>703</v>
      </c>
      <c r="B31" s="3">
        <v>4</v>
      </c>
      <c r="C31" s="27" t="s">
        <v>213</v>
      </c>
      <c r="D31" s="27" t="s">
        <v>1446</v>
      </c>
      <c r="E31" s="3" t="s">
        <v>1447</v>
      </c>
      <c r="F31" s="3" t="s">
        <v>1448</v>
      </c>
      <c r="G31" s="3" t="s">
        <v>1449</v>
      </c>
      <c r="H31" s="3" t="s">
        <v>1450</v>
      </c>
      <c r="I31" s="3" t="s">
        <v>1451</v>
      </c>
      <c r="J31" s="3" t="s">
        <v>1452</v>
      </c>
    </row>
    <row r="32" spans="1:10" ht="49.5" customHeight="1" x14ac:dyDescent="0.35">
      <c r="A32" s="28" t="s">
        <v>703</v>
      </c>
      <c r="B32" s="3">
        <v>5</v>
      </c>
      <c r="C32" s="28" t="s">
        <v>217</v>
      </c>
      <c r="D32" s="28" t="s">
        <v>1453</v>
      </c>
      <c r="E32" s="3" t="s">
        <v>1454</v>
      </c>
      <c r="F32" s="3" t="s">
        <v>1455</v>
      </c>
      <c r="G32" s="3" t="s">
        <v>1456</v>
      </c>
      <c r="H32" s="3" t="s">
        <v>1457</v>
      </c>
      <c r="I32" s="3" t="s">
        <v>1458</v>
      </c>
      <c r="J32" s="3" t="s">
        <v>1336</v>
      </c>
    </row>
    <row r="33" spans="1:10" ht="49.5" customHeight="1" x14ac:dyDescent="0.35">
      <c r="A33" s="22" t="s">
        <v>713</v>
      </c>
      <c r="B33" s="3">
        <v>0</v>
      </c>
      <c r="C33" s="22" t="s">
        <v>197</v>
      </c>
      <c r="D33" s="22" t="s">
        <v>1459</v>
      </c>
      <c r="E33" s="3" t="s">
        <v>1460</v>
      </c>
      <c r="F33" s="3" t="s">
        <v>1461</v>
      </c>
      <c r="G33" s="3" t="s">
        <v>1462</v>
      </c>
      <c r="H33" s="3" t="s">
        <v>1463</v>
      </c>
      <c r="I33" s="3" t="s">
        <v>1464</v>
      </c>
      <c r="J33" s="3" t="s">
        <v>1465</v>
      </c>
    </row>
    <row r="34" spans="1:10" ht="49.5" customHeight="1" x14ac:dyDescent="0.35">
      <c r="A34" s="24" t="s">
        <v>713</v>
      </c>
      <c r="B34" s="3">
        <v>1</v>
      </c>
      <c r="C34" s="24" t="s">
        <v>201</v>
      </c>
      <c r="D34" s="24" t="s">
        <v>1466</v>
      </c>
      <c r="E34" s="3" t="s">
        <v>1467</v>
      </c>
      <c r="F34" s="3" t="s">
        <v>1468</v>
      </c>
      <c r="G34" s="3" t="s">
        <v>1469</v>
      </c>
      <c r="H34" s="3" t="s">
        <v>1470</v>
      </c>
      <c r="I34" s="3" t="s">
        <v>1471</v>
      </c>
      <c r="J34" s="3" t="s">
        <v>1472</v>
      </c>
    </row>
    <row r="35" spans="1:10" ht="49.5" customHeight="1" x14ac:dyDescent="0.35">
      <c r="A35" s="25" t="s">
        <v>713</v>
      </c>
      <c r="B35" s="3">
        <v>2</v>
      </c>
      <c r="C35" s="25" t="s">
        <v>205</v>
      </c>
      <c r="D35" s="25" t="s">
        <v>1473</v>
      </c>
      <c r="E35" s="3" t="s">
        <v>1474</v>
      </c>
      <c r="F35" s="3" t="s">
        <v>1475</v>
      </c>
      <c r="G35" s="3" t="s">
        <v>1476</v>
      </c>
      <c r="H35" s="3" t="s">
        <v>1477</v>
      </c>
      <c r="I35" s="3" t="s">
        <v>1478</v>
      </c>
      <c r="J35" s="3" t="s">
        <v>1479</v>
      </c>
    </row>
    <row r="36" spans="1:10" ht="49.5" customHeight="1" x14ac:dyDescent="0.35">
      <c r="A36" s="26" t="s">
        <v>713</v>
      </c>
      <c r="B36" s="23">
        <v>3</v>
      </c>
      <c r="C36" s="26" t="s">
        <v>209</v>
      </c>
      <c r="D36" s="26" t="s">
        <v>1480</v>
      </c>
      <c r="E36" s="23" t="s">
        <v>1481</v>
      </c>
      <c r="F36" s="23" t="s">
        <v>1482</v>
      </c>
      <c r="G36" s="23" t="s">
        <v>1483</v>
      </c>
      <c r="H36" s="23" t="s">
        <v>1484</v>
      </c>
      <c r="I36" s="23" t="s">
        <v>1485</v>
      </c>
      <c r="J36" s="23" t="s">
        <v>1486</v>
      </c>
    </row>
    <row r="37" spans="1:10" ht="49.5" customHeight="1" x14ac:dyDescent="0.35">
      <c r="A37" s="27" t="s">
        <v>713</v>
      </c>
      <c r="B37" s="23">
        <v>4</v>
      </c>
      <c r="C37" s="27" t="s">
        <v>213</v>
      </c>
      <c r="D37" s="27" t="s">
        <v>1487</v>
      </c>
      <c r="E37" s="23" t="s">
        <v>1488</v>
      </c>
      <c r="F37" s="23" t="s">
        <v>1489</v>
      </c>
      <c r="G37" s="23" t="s">
        <v>1490</v>
      </c>
      <c r="H37" s="23" t="s">
        <v>1491</v>
      </c>
      <c r="I37" s="23" t="s">
        <v>1492</v>
      </c>
      <c r="J37" s="23" t="s">
        <v>1493</v>
      </c>
    </row>
    <row r="38" spans="1:10" ht="49.5" customHeight="1" x14ac:dyDescent="0.35">
      <c r="A38" s="28" t="s">
        <v>713</v>
      </c>
      <c r="B38" s="23">
        <v>5</v>
      </c>
      <c r="C38" s="28" t="s">
        <v>217</v>
      </c>
      <c r="D38" s="28" t="s">
        <v>1494</v>
      </c>
      <c r="E38" s="23" t="s">
        <v>1495</v>
      </c>
      <c r="F38" s="23" t="s">
        <v>1496</v>
      </c>
      <c r="G38" s="23" t="s">
        <v>1497</v>
      </c>
      <c r="H38" s="23" t="s">
        <v>1498</v>
      </c>
      <c r="I38" s="23" t="s">
        <v>1499</v>
      </c>
      <c r="J38" s="23" t="s">
        <v>1336</v>
      </c>
    </row>
    <row r="39" spans="1:10" ht="49.5" customHeight="1" x14ac:dyDescent="0.35">
      <c r="A39" s="22" t="s">
        <v>722</v>
      </c>
      <c r="B39" s="23">
        <v>0</v>
      </c>
      <c r="C39" s="22" t="s">
        <v>197</v>
      </c>
      <c r="D39" s="22" t="s">
        <v>1500</v>
      </c>
      <c r="E39" s="23" t="s">
        <v>1501</v>
      </c>
      <c r="F39" s="23" t="s">
        <v>1502</v>
      </c>
      <c r="G39" s="23" t="s">
        <v>1503</v>
      </c>
      <c r="H39" s="23" t="s">
        <v>1504</v>
      </c>
      <c r="I39" s="23" t="s">
        <v>1505</v>
      </c>
      <c r="J39" s="23" t="s">
        <v>1506</v>
      </c>
    </row>
    <row r="40" spans="1:10" ht="49.5" customHeight="1" x14ac:dyDescent="0.35">
      <c r="A40" s="24" t="s">
        <v>722</v>
      </c>
      <c r="B40" s="23">
        <v>1</v>
      </c>
      <c r="C40" s="24" t="s">
        <v>201</v>
      </c>
      <c r="D40" s="24" t="s">
        <v>1507</v>
      </c>
      <c r="E40" s="23" t="s">
        <v>1508</v>
      </c>
      <c r="F40" s="23" t="s">
        <v>1509</v>
      </c>
      <c r="G40" s="23" t="s">
        <v>1510</v>
      </c>
      <c r="H40" s="23" t="s">
        <v>1511</v>
      </c>
      <c r="I40" s="23" t="s">
        <v>1512</v>
      </c>
      <c r="J40" s="23" t="s">
        <v>1513</v>
      </c>
    </row>
    <row r="41" spans="1:10" ht="49.5" customHeight="1" x14ac:dyDescent="0.35">
      <c r="A41" s="25" t="s">
        <v>722</v>
      </c>
      <c r="B41" s="23">
        <v>2</v>
      </c>
      <c r="C41" s="25" t="s">
        <v>205</v>
      </c>
      <c r="D41" s="25" t="s">
        <v>1514</v>
      </c>
      <c r="E41" s="23" t="s">
        <v>1515</v>
      </c>
      <c r="F41" s="23" t="s">
        <v>1516</v>
      </c>
      <c r="G41" s="23" t="s">
        <v>1517</v>
      </c>
      <c r="H41" s="23" t="s">
        <v>1518</v>
      </c>
      <c r="I41" s="23" t="s">
        <v>1519</v>
      </c>
      <c r="J41" s="23" t="s">
        <v>1520</v>
      </c>
    </row>
    <row r="42" spans="1:10" ht="49.5" customHeight="1" x14ac:dyDescent="0.35">
      <c r="A42" s="26" t="s">
        <v>722</v>
      </c>
      <c r="B42" s="3">
        <v>3</v>
      </c>
      <c r="C42" s="26" t="s">
        <v>209</v>
      </c>
      <c r="D42" s="26" t="s">
        <v>1521</v>
      </c>
      <c r="E42" s="3" t="s">
        <v>1522</v>
      </c>
      <c r="F42" s="3" t="s">
        <v>1523</v>
      </c>
      <c r="G42" s="3" t="s">
        <v>1524</v>
      </c>
      <c r="H42" s="3" t="s">
        <v>1525</v>
      </c>
      <c r="I42" s="3" t="s">
        <v>1526</v>
      </c>
      <c r="J42" s="3" t="s">
        <v>1527</v>
      </c>
    </row>
    <row r="43" spans="1:10" ht="49.5" customHeight="1" x14ac:dyDescent="0.35">
      <c r="A43" s="27" t="s">
        <v>722</v>
      </c>
      <c r="B43" s="3">
        <v>4</v>
      </c>
      <c r="C43" s="27" t="s">
        <v>213</v>
      </c>
      <c r="D43" s="27" t="s">
        <v>1528</v>
      </c>
      <c r="E43" s="3" t="s">
        <v>1529</v>
      </c>
      <c r="F43" s="3" t="s">
        <v>1530</v>
      </c>
      <c r="G43" s="3" t="s">
        <v>1531</v>
      </c>
      <c r="H43" s="3" t="s">
        <v>1532</v>
      </c>
      <c r="I43" s="3" t="s">
        <v>1533</v>
      </c>
      <c r="J43" s="3" t="s">
        <v>1534</v>
      </c>
    </row>
    <row r="44" spans="1:10" ht="49.5" customHeight="1" x14ac:dyDescent="0.35">
      <c r="A44" s="28" t="s">
        <v>722</v>
      </c>
      <c r="B44" s="3">
        <v>5</v>
      </c>
      <c r="C44" s="28" t="s">
        <v>217</v>
      </c>
      <c r="D44" s="28" t="s">
        <v>1535</v>
      </c>
      <c r="E44" s="3" t="s">
        <v>1536</v>
      </c>
      <c r="F44" s="3" t="s">
        <v>1537</v>
      </c>
      <c r="G44" s="3" t="s">
        <v>1538</v>
      </c>
      <c r="H44" s="3" t="s">
        <v>1539</v>
      </c>
      <c r="I44" s="3" t="s">
        <v>1540</v>
      </c>
      <c r="J44" s="3" t="s">
        <v>1541</v>
      </c>
    </row>
    <row r="45" spans="1:10" ht="49.5" customHeight="1" x14ac:dyDescent="0.35">
      <c r="A45" s="22" t="s">
        <v>732</v>
      </c>
      <c r="B45" s="3">
        <v>0</v>
      </c>
      <c r="C45" s="22" t="s">
        <v>197</v>
      </c>
      <c r="D45" s="22" t="s">
        <v>1542</v>
      </c>
      <c r="E45" s="3" t="s">
        <v>1543</v>
      </c>
      <c r="F45" s="3" t="s">
        <v>1544</v>
      </c>
      <c r="G45" s="3" t="s">
        <v>1503</v>
      </c>
      <c r="H45" s="3" t="s">
        <v>1545</v>
      </c>
      <c r="I45" s="3" t="s">
        <v>1505</v>
      </c>
      <c r="J45" s="3" t="s">
        <v>1546</v>
      </c>
    </row>
    <row r="46" spans="1:10" ht="49.5" customHeight="1" x14ac:dyDescent="0.35">
      <c r="A46" s="24" t="s">
        <v>732</v>
      </c>
      <c r="B46" s="3">
        <v>1</v>
      </c>
      <c r="C46" s="24" t="s">
        <v>201</v>
      </c>
      <c r="D46" s="24" t="s">
        <v>1547</v>
      </c>
      <c r="E46" s="3" t="s">
        <v>1548</v>
      </c>
      <c r="F46" s="3" t="s">
        <v>1549</v>
      </c>
      <c r="G46" s="3" t="s">
        <v>1510</v>
      </c>
      <c r="H46" s="3" t="s">
        <v>1511</v>
      </c>
      <c r="I46" s="3" t="s">
        <v>1512</v>
      </c>
      <c r="J46" s="3" t="s">
        <v>1550</v>
      </c>
    </row>
    <row r="47" spans="1:10" ht="49.5" customHeight="1" x14ac:dyDescent="0.35">
      <c r="A47" s="25" t="s">
        <v>732</v>
      </c>
      <c r="B47" s="3">
        <v>2</v>
      </c>
      <c r="C47" s="25" t="s">
        <v>205</v>
      </c>
      <c r="D47" s="25" t="s">
        <v>1551</v>
      </c>
      <c r="E47" s="3" t="s">
        <v>1552</v>
      </c>
      <c r="F47" s="3" t="s">
        <v>1553</v>
      </c>
      <c r="G47" s="3" t="s">
        <v>1517</v>
      </c>
      <c r="H47" s="3" t="s">
        <v>1518</v>
      </c>
      <c r="I47" s="3" t="s">
        <v>1519</v>
      </c>
      <c r="J47" s="3" t="s">
        <v>1520</v>
      </c>
    </row>
    <row r="48" spans="1:10" ht="49.5" customHeight="1" x14ac:dyDescent="0.35">
      <c r="A48" s="26" t="s">
        <v>732</v>
      </c>
      <c r="B48" s="23">
        <v>3</v>
      </c>
      <c r="C48" s="26" t="s">
        <v>209</v>
      </c>
      <c r="D48" s="26" t="s">
        <v>1554</v>
      </c>
      <c r="E48" s="23" t="s">
        <v>1555</v>
      </c>
      <c r="F48" s="23" t="s">
        <v>1556</v>
      </c>
      <c r="G48" s="23" t="s">
        <v>1524</v>
      </c>
      <c r="H48" s="23" t="s">
        <v>1525</v>
      </c>
      <c r="I48" s="23" t="s">
        <v>1526</v>
      </c>
      <c r="J48" s="23" t="s">
        <v>1527</v>
      </c>
    </row>
    <row r="49" spans="1:10" ht="49.5" customHeight="1" x14ac:dyDescent="0.35">
      <c r="A49" s="27" t="s">
        <v>732</v>
      </c>
      <c r="B49" s="23">
        <v>4</v>
      </c>
      <c r="C49" s="27" t="s">
        <v>213</v>
      </c>
      <c r="D49" s="27" t="s">
        <v>1557</v>
      </c>
      <c r="E49" s="23" t="s">
        <v>1558</v>
      </c>
      <c r="F49" s="23" t="s">
        <v>1559</v>
      </c>
      <c r="G49" s="23" t="s">
        <v>1531</v>
      </c>
      <c r="H49" s="23" t="s">
        <v>1532</v>
      </c>
      <c r="I49" s="23" t="s">
        <v>1533</v>
      </c>
      <c r="J49" s="23" t="s">
        <v>1534</v>
      </c>
    </row>
    <row r="50" spans="1:10" ht="49.5" customHeight="1" x14ac:dyDescent="0.35">
      <c r="A50" s="28" t="s">
        <v>732</v>
      </c>
      <c r="B50" s="23">
        <v>5</v>
      </c>
      <c r="C50" s="28" t="s">
        <v>217</v>
      </c>
      <c r="D50" s="28" t="s">
        <v>1560</v>
      </c>
      <c r="E50" s="23" t="s">
        <v>1561</v>
      </c>
      <c r="F50" s="23" t="s">
        <v>1562</v>
      </c>
      <c r="G50" s="23" t="s">
        <v>1538</v>
      </c>
      <c r="H50" s="23" t="s">
        <v>1539</v>
      </c>
      <c r="I50" s="23" t="s">
        <v>1540</v>
      </c>
      <c r="J50" s="23" t="s">
        <v>1541</v>
      </c>
    </row>
    <row r="51" spans="1:10" ht="49.5" customHeight="1" x14ac:dyDescent="0.35">
      <c r="A51" s="22" t="s">
        <v>743</v>
      </c>
      <c r="B51" s="23">
        <v>0</v>
      </c>
      <c r="C51" s="22" t="s">
        <v>197</v>
      </c>
      <c r="D51" s="22" t="s">
        <v>1563</v>
      </c>
      <c r="E51" s="23" t="s">
        <v>1564</v>
      </c>
      <c r="F51" s="23" t="s">
        <v>1565</v>
      </c>
      <c r="G51" s="23" t="s">
        <v>1503</v>
      </c>
      <c r="H51" s="23" t="s">
        <v>1566</v>
      </c>
      <c r="I51" s="23" t="s">
        <v>1505</v>
      </c>
      <c r="J51" s="23" t="s">
        <v>1567</v>
      </c>
    </row>
    <row r="52" spans="1:10" ht="49.5" customHeight="1" x14ac:dyDescent="0.35">
      <c r="A52" s="24" t="s">
        <v>743</v>
      </c>
      <c r="B52" s="23">
        <v>1</v>
      </c>
      <c r="C52" s="24" t="s">
        <v>201</v>
      </c>
      <c r="D52" s="24" t="s">
        <v>1568</v>
      </c>
      <c r="E52" s="23" t="s">
        <v>1569</v>
      </c>
      <c r="F52" s="23" t="s">
        <v>1570</v>
      </c>
      <c r="G52" s="23" t="s">
        <v>1510</v>
      </c>
      <c r="H52" s="23" t="s">
        <v>1511</v>
      </c>
      <c r="I52" s="23" t="s">
        <v>1512</v>
      </c>
      <c r="J52" s="23" t="s">
        <v>1571</v>
      </c>
    </row>
    <row r="53" spans="1:10" ht="49.5" customHeight="1" x14ac:dyDescent="0.35">
      <c r="A53" s="25" t="s">
        <v>743</v>
      </c>
      <c r="B53" s="23">
        <v>2</v>
      </c>
      <c r="C53" s="25" t="s">
        <v>205</v>
      </c>
      <c r="D53" s="25" t="s">
        <v>1572</v>
      </c>
      <c r="E53" s="23" t="s">
        <v>1573</v>
      </c>
      <c r="F53" s="23" t="s">
        <v>1574</v>
      </c>
      <c r="G53" s="23" t="s">
        <v>1517</v>
      </c>
      <c r="H53" s="23" t="s">
        <v>1518</v>
      </c>
      <c r="I53" s="23" t="s">
        <v>1519</v>
      </c>
      <c r="J53" s="23" t="s">
        <v>1520</v>
      </c>
    </row>
    <row r="54" spans="1:10" ht="49.5" customHeight="1" x14ac:dyDescent="0.35">
      <c r="A54" s="26" t="s">
        <v>743</v>
      </c>
      <c r="B54" s="3">
        <v>3</v>
      </c>
      <c r="C54" s="26" t="s">
        <v>209</v>
      </c>
      <c r="D54" s="26" t="s">
        <v>1575</v>
      </c>
      <c r="E54" s="3" t="s">
        <v>1576</v>
      </c>
      <c r="F54" s="3" t="s">
        <v>1577</v>
      </c>
      <c r="G54" s="3" t="s">
        <v>1524</v>
      </c>
      <c r="H54" s="3" t="s">
        <v>1525</v>
      </c>
      <c r="I54" s="3" t="s">
        <v>1526</v>
      </c>
      <c r="J54" s="3" t="s">
        <v>1527</v>
      </c>
    </row>
    <row r="55" spans="1:10" ht="49.5" customHeight="1" x14ac:dyDescent="0.35">
      <c r="A55" s="27" t="s">
        <v>743</v>
      </c>
      <c r="B55" s="3">
        <v>4</v>
      </c>
      <c r="C55" s="27" t="s">
        <v>213</v>
      </c>
      <c r="D55" s="27" t="s">
        <v>1578</v>
      </c>
      <c r="E55" s="3" t="s">
        <v>1579</v>
      </c>
      <c r="F55" s="3" t="s">
        <v>1580</v>
      </c>
      <c r="G55" s="3" t="s">
        <v>1531</v>
      </c>
      <c r="H55" s="3" t="s">
        <v>1532</v>
      </c>
      <c r="I55" s="3" t="s">
        <v>1533</v>
      </c>
      <c r="J55" s="3" t="s">
        <v>1534</v>
      </c>
    </row>
    <row r="56" spans="1:10" ht="49.5" customHeight="1" x14ac:dyDescent="0.35">
      <c r="A56" s="28" t="s">
        <v>743</v>
      </c>
      <c r="B56" s="3">
        <v>5</v>
      </c>
      <c r="C56" s="28" t="s">
        <v>217</v>
      </c>
      <c r="D56" s="28" t="s">
        <v>1581</v>
      </c>
      <c r="E56" s="3" t="s">
        <v>1582</v>
      </c>
      <c r="F56" s="3" t="s">
        <v>1583</v>
      </c>
      <c r="G56" s="3" t="s">
        <v>1538</v>
      </c>
      <c r="H56" s="3" t="s">
        <v>1539</v>
      </c>
      <c r="I56" s="3" t="s">
        <v>1540</v>
      </c>
      <c r="J56" s="3" t="s">
        <v>1541</v>
      </c>
    </row>
    <row r="57" spans="1:10" ht="49.5" customHeight="1" x14ac:dyDescent="0.35">
      <c r="A57" s="22" t="s">
        <v>752</v>
      </c>
      <c r="B57" s="3">
        <v>0</v>
      </c>
      <c r="C57" s="22" t="s">
        <v>197</v>
      </c>
      <c r="D57" s="22" t="s">
        <v>1584</v>
      </c>
      <c r="E57" s="3" t="s">
        <v>1585</v>
      </c>
      <c r="F57" s="3" t="s">
        <v>1586</v>
      </c>
      <c r="G57" s="3" t="s">
        <v>1503</v>
      </c>
      <c r="H57" s="3" t="s">
        <v>1587</v>
      </c>
      <c r="I57" s="3" t="s">
        <v>1505</v>
      </c>
      <c r="J57" s="3" t="s">
        <v>1588</v>
      </c>
    </row>
    <row r="58" spans="1:10" ht="49.5" customHeight="1" x14ac:dyDescent="0.35">
      <c r="A58" s="24" t="s">
        <v>752</v>
      </c>
      <c r="B58" s="3">
        <v>1</v>
      </c>
      <c r="C58" s="24" t="s">
        <v>201</v>
      </c>
      <c r="D58" s="24" t="s">
        <v>1589</v>
      </c>
      <c r="E58" s="3" t="s">
        <v>1590</v>
      </c>
      <c r="F58" s="3" t="s">
        <v>1591</v>
      </c>
      <c r="G58" s="3" t="s">
        <v>1510</v>
      </c>
      <c r="H58" s="3" t="s">
        <v>1511</v>
      </c>
      <c r="I58" s="3" t="s">
        <v>1512</v>
      </c>
      <c r="J58" s="3" t="s">
        <v>1592</v>
      </c>
    </row>
    <row r="59" spans="1:10" ht="49.5" customHeight="1" x14ac:dyDescent="0.35">
      <c r="A59" s="25" t="s">
        <v>752</v>
      </c>
      <c r="B59" s="3">
        <v>2</v>
      </c>
      <c r="C59" s="25" t="s">
        <v>205</v>
      </c>
      <c r="D59" s="25" t="s">
        <v>1593</v>
      </c>
      <c r="E59" s="3" t="s">
        <v>1594</v>
      </c>
      <c r="F59" s="3" t="s">
        <v>1595</v>
      </c>
      <c r="G59" s="3" t="s">
        <v>1517</v>
      </c>
      <c r="H59" s="3" t="s">
        <v>1518</v>
      </c>
      <c r="I59" s="3" t="s">
        <v>1519</v>
      </c>
      <c r="J59" s="3" t="s">
        <v>1520</v>
      </c>
    </row>
    <row r="60" spans="1:10" ht="49.5" customHeight="1" x14ac:dyDescent="0.35">
      <c r="A60" s="26" t="s">
        <v>752</v>
      </c>
      <c r="B60" s="23">
        <v>3</v>
      </c>
      <c r="C60" s="26" t="s">
        <v>209</v>
      </c>
      <c r="D60" s="26" t="s">
        <v>1596</v>
      </c>
      <c r="E60" s="23" t="s">
        <v>1597</v>
      </c>
      <c r="F60" s="23" t="s">
        <v>1598</v>
      </c>
      <c r="G60" s="23" t="s">
        <v>1524</v>
      </c>
      <c r="H60" s="23" t="s">
        <v>1525</v>
      </c>
      <c r="I60" s="23" t="s">
        <v>1526</v>
      </c>
      <c r="J60" s="23" t="s">
        <v>1527</v>
      </c>
    </row>
    <row r="61" spans="1:10" ht="49.5" customHeight="1" x14ac:dyDescent="0.35">
      <c r="A61" s="27" t="s">
        <v>752</v>
      </c>
      <c r="B61" s="23">
        <v>4</v>
      </c>
      <c r="C61" s="27" t="s">
        <v>213</v>
      </c>
      <c r="D61" s="27" t="s">
        <v>1599</v>
      </c>
      <c r="E61" s="23" t="s">
        <v>1600</v>
      </c>
      <c r="F61" s="23" t="s">
        <v>1601</v>
      </c>
      <c r="G61" s="23" t="s">
        <v>1531</v>
      </c>
      <c r="H61" s="23" t="s">
        <v>1532</v>
      </c>
      <c r="I61" s="23" t="s">
        <v>1533</v>
      </c>
      <c r="J61" s="23" t="s">
        <v>1534</v>
      </c>
    </row>
    <row r="62" spans="1:10" ht="49.5" customHeight="1" x14ac:dyDescent="0.35">
      <c r="A62" s="28" t="s">
        <v>752</v>
      </c>
      <c r="B62" s="23">
        <v>5</v>
      </c>
      <c r="C62" s="28" t="s">
        <v>217</v>
      </c>
      <c r="D62" s="28" t="s">
        <v>1602</v>
      </c>
      <c r="E62" s="23" t="s">
        <v>1603</v>
      </c>
      <c r="F62" s="23" t="s">
        <v>1604</v>
      </c>
      <c r="G62" s="23" t="s">
        <v>1538</v>
      </c>
      <c r="H62" s="23" t="s">
        <v>1539</v>
      </c>
      <c r="I62" s="23" t="s">
        <v>1540</v>
      </c>
      <c r="J62" s="23" t="s">
        <v>1541</v>
      </c>
    </row>
    <row r="63" spans="1:10" ht="49.5" customHeight="1" x14ac:dyDescent="0.35">
      <c r="A63" s="22" t="s">
        <v>762</v>
      </c>
      <c r="B63" s="23">
        <v>0</v>
      </c>
      <c r="C63" s="22" t="s">
        <v>197</v>
      </c>
      <c r="D63" s="22" t="s">
        <v>1605</v>
      </c>
      <c r="E63" s="23" t="s">
        <v>1606</v>
      </c>
      <c r="F63" s="23" t="s">
        <v>1607</v>
      </c>
      <c r="G63" s="23" t="s">
        <v>1503</v>
      </c>
      <c r="H63" s="23" t="s">
        <v>1608</v>
      </c>
      <c r="I63" s="23" t="s">
        <v>1505</v>
      </c>
      <c r="J63" s="23" t="s">
        <v>1609</v>
      </c>
    </row>
    <row r="64" spans="1:10" ht="49.5" customHeight="1" x14ac:dyDescent="0.35">
      <c r="A64" s="24" t="s">
        <v>762</v>
      </c>
      <c r="B64" s="23">
        <v>1</v>
      </c>
      <c r="C64" s="24" t="s">
        <v>201</v>
      </c>
      <c r="D64" s="24" t="s">
        <v>1610</v>
      </c>
      <c r="E64" s="23" t="s">
        <v>1611</v>
      </c>
      <c r="F64" s="23" t="s">
        <v>1612</v>
      </c>
      <c r="G64" s="23" t="s">
        <v>1510</v>
      </c>
      <c r="H64" s="23" t="s">
        <v>1511</v>
      </c>
      <c r="I64" s="23" t="s">
        <v>1512</v>
      </c>
      <c r="J64" s="23" t="s">
        <v>1613</v>
      </c>
    </row>
    <row r="65" spans="1:10" ht="49.5" customHeight="1" x14ac:dyDescent="0.35">
      <c r="A65" s="25" t="s">
        <v>762</v>
      </c>
      <c r="B65" s="23">
        <v>2</v>
      </c>
      <c r="C65" s="25" t="s">
        <v>205</v>
      </c>
      <c r="D65" s="25" t="s">
        <v>1614</v>
      </c>
      <c r="E65" s="23" t="s">
        <v>1615</v>
      </c>
      <c r="F65" s="23" t="s">
        <v>1616</v>
      </c>
      <c r="G65" s="23" t="s">
        <v>1517</v>
      </c>
      <c r="H65" s="23" t="s">
        <v>1518</v>
      </c>
      <c r="I65" s="23" t="s">
        <v>1519</v>
      </c>
      <c r="J65" s="23" t="s">
        <v>1520</v>
      </c>
    </row>
    <row r="66" spans="1:10" ht="49.5" customHeight="1" x14ac:dyDescent="0.35">
      <c r="A66" s="26" t="s">
        <v>762</v>
      </c>
      <c r="B66" s="3">
        <v>3</v>
      </c>
      <c r="C66" s="26" t="s">
        <v>209</v>
      </c>
      <c r="D66" s="26" t="s">
        <v>1617</v>
      </c>
      <c r="E66" s="3" t="s">
        <v>1618</v>
      </c>
      <c r="F66" s="3" t="s">
        <v>1619</v>
      </c>
      <c r="G66" s="3" t="s">
        <v>1524</v>
      </c>
      <c r="H66" s="3" t="s">
        <v>1525</v>
      </c>
      <c r="I66" s="3" t="s">
        <v>1526</v>
      </c>
      <c r="J66" s="3" t="s">
        <v>1527</v>
      </c>
    </row>
    <row r="67" spans="1:10" ht="49.5" customHeight="1" x14ac:dyDescent="0.35">
      <c r="A67" s="27" t="s">
        <v>762</v>
      </c>
      <c r="B67" s="3">
        <v>4</v>
      </c>
      <c r="C67" s="27" t="s">
        <v>213</v>
      </c>
      <c r="D67" s="27" t="s">
        <v>1620</v>
      </c>
      <c r="E67" s="3" t="s">
        <v>1621</v>
      </c>
      <c r="F67" s="3" t="s">
        <v>1622</v>
      </c>
      <c r="G67" s="3" t="s">
        <v>1531</v>
      </c>
      <c r="H67" s="3" t="s">
        <v>1532</v>
      </c>
      <c r="I67" s="3" t="s">
        <v>1533</v>
      </c>
      <c r="J67" s="3" t="s">
        <v>1534</v>
      </c>
    </row>
    <row r="68" spans="1:10" ht="49.5" customHeight="1" x14ac:dyDescent="0.35">
      <c r="A68" s="28" t="s">
        <v>762</v>
      </c>
      <c r="B68" s="3">
        <v>5</v>
      </c>
      <c r="C68" s="28" t="s">
        <v>217</v>
      </c>
      <c r="D68" s="28" t="s">
        <v>1623</v>
      </c>
      <c r="E68" s="3" t="s">
        <v>1624</v>
      </c>
      <c r="F68" s="3" t="s">
        <v>1625</v>
      </c>
      <c r="G68" s="3" t="s">
        <v>1538</v>
      </c>
      <c r="H68" s="3" t="s">
        <v>1539</v>
      </c>
      <c r="I68" s="3" t="s">
        <v>1540</v>
      </c>
      <c r="J68" s="3" t="s">
        <v>1541</v>
      </c>
    </row>
    <row r="69" spans="1:10" ht="49.5" customHeight="1" x14ac:dyDescent="0.35">
      <c r="A69" s="22" t="s">
        <v>773</v>
      </c>
      <c r="B69" s="3">
        <v>0</v>
      </c>
      <c r="C69" s="22" t="s">
        <v>197</v>
      </c>
      <c r="D69" s="22" t="s">
        <v>1626</v>
      </c>
      <c r="E69" s="3" t="s">
        <v>1627</v>
      </c>
      <c r="F69" s="3" t="s">
        <v>1628</v>
      </c>
      <c r="G69" s="3" t="s">
        <v>1503</v>
      </c>
      <c r="H69" s="3" t="s">
        <v>1629</v>
      </c>
      <c r="I69" s="3" t="s">
        <v>1505</v>
      </c>
      <c r="J69" s="3" t="s">
        <v>1630</v>
      </c>
    </row>
    <row r="70" spans="1:10" ht="49.5" customHeight="1" x14ac:dyDescent="0.35">
      <c r="A70" s="24" t="s">
        <v>773</v>
      </c>
      <c r="B70" s="3">
        <v>1</v>
      </c>
      <c r="C70" s="24" t="s">
        <v>201</v>
      </c>
      <c r="D70" s="24" t="s">
        <v>1631</v>
      </c>
      <c r="E70" s="3" t="s">
        <v>1632</v>
      </c>
      <c r="F70" s="3" t="s">
        <v>1633</v>
      </c>
      <c r="G70" s="3" t="s">
        <v>1510</v>
      </c>
      <c r="H70" s="3" t="s">
        <v>1511</v>
      </c>
      <c r="I70" s="3" t="s">
        <v>1512</v>
      </c>
      <c r="J70" s="3" t="s">
        <v>1634</v>
      </c>
    </row>
    <row r="71" spans="1:10" ht="49.5" customHeight="1" x14ac:dyDescent="0.35">
      <c r="A71" s="25" t="s">
        <v>773</v>
      </c>
      <c r="B71" s="3">
        <v>2</v>
      </c>
      <c r="C71" s="25" t="s">
        <v>205</v>
      </c>
      <c r="D71" s="25" t="s">
        <v>1635</v>
      </c>
      <c r="E71" s="3" t="s">
        <v>1636</v>
      </c>
      <c r="F71" s="3" t="s">
        <v>1637</v>
      </c>
      <c r="G71" s="3" t="s">
        <v>1517</v>
      </c>
      <c r="H71" s="3" t="s">
        <v>1518</v>
      </c>
      <c r="I71" s="3" t="s">
        <v>1519</v>
      </c>
      <c r="J71" s="3" t="s">
        <v>1520</v>
      </c>
    </row>
    <row r="72" spans="1:10" ht="49.5" customHeight="1" x14ac:dyDescent="0.35">
      <c r="A72" s="26" t="s">
        <v>773</v>
      </c>
      <c r="B72" s="23">
        <v>3</v>
      </c>
      <c r="C72" s="26" t="s">
        <v>209</v>
      </c>
      <c r="D72" s="26" t="s">
        <v>1638</v>
      </c>
      <c r="E72" s="23" t="s">
        <v>1639</v>
      </c>
      <c r="F72" s="23" t="s">
        <v>1640</v>
      </c>
      <c r="G72" s="23" t="s">
        <v>1524</v>
      </c>
      <c r="H72" s="23" t="s">
        <v>1525</v>
      </c>
      <c r="I72" s="23" t="s">
        <v>1526</v>
      </c>
      <c r="J72" s="23" t="s">
        <v>1527</v>
      </c>
    </row>
    <row r="73" spans="1:10" ht="49.5" customHeight="1" x14ac:dyDescent="0.35">
      <c r="A73" s="27" t="s">
        <v>773</v>
      </c>
      <c r="B73" s="23">
        <v>4</v>
      </c>
      <c r="C73" s="27" t="s">
        <v>213</v>
      </c>
      <c r="D73" s="27" t="s">
        <v>1641</v>
      </c>
      <c r="E73" s="23" t="s">
        <v>1642</v>
      </c>
      <c r="F73" s="23" t="s">
        <v>1643</v>
      </c>
      <c r="G73" s="23" t="s">
        <v>1531</v>
      </c>
      <c r="H73" s="23" t="s">
        <v>1532</v>
      </c>
      <c r="I73" s="23" t="s">
        <v>1533</v>
      </c>
      <c r="J73" s="23" t="s">
        <v>1534</v>
      </c>
    </row>
    <row r="74" spans="1:10" ht="49.5" customHeight="1" x14ac:dyDescent="0.35">
      <c r="A74" s="28" t="s">
        <v>773</v>
      </c>
      <c r="B74" s="23">
        <v>5</v>
      </c>
      <c r="C74" s="28" t="s">
        <v>217</v>
      </c>
      <c r="D74" s="28" t="s">
        <v>1644</v>
      </c>
      <c r="E74" s="23" t="s">
        <v>1645</v>
      </c>
      <c r="F74" s="23" t="s">
        <v>1646</v>
      </c>
      <c r="G74" s="23" t="s">
        <v>1538</v>
      </c>
      <c r="H74" s="23" t="s">
        <v>1539</v>
      </c>
      <c r="I74" s="23" t="s">
        <v>1540</v>
      </c>
      <c r="J74" s="23" t="s">
        <v>1541</v>
      </c>
    </row>
    <row r="75" spans="1:10" ht="49.5" customHeight="1" x14ac:dyDescent="0.35">
      <c r="A75" s="22" t="s">
        <v>781</v>
      </c>
      <c r="B75" s="23">
        <v>0</v>
      </c>
      <c r="C75" s="22" t="s">
        <v>197</v>
      </c>
      <c r="D75" s="22" t="s">
        <v>1647</v>
      </c>
      <c r="E75" s="23" t="s">
        <v>1648</v>
      </c>
      <c r="F75" s="23" t="s">
        <v>1649</v>
      </c>
      <c r="G75" s="23" t="s">
        <v>1503</v>
      </c>
      <c r="H75" s="23" t="s">
        <v>1650</v>
      </c>
      <c r="I75" s="23" t="s">
        <v>1505</v>
      </c>
      <c r="J75" s="23" t="s">
        <v>1651</v>
      </c>
    </row>
    <row r="76" spans="1:10" ht="49.5" customHeight="1" x14ac:dyDescent="0.35">
      <c r="A76" s="24" t="s">
        <v>781</v>
      </c>
      <c r="B76" s="23">
        <v>1</v>
      </c>
      <c r="C76" s="24" t="s">
        <v>201</v>
      </c>
      <c r="D76" s="24" t="s">
        <v>1652</v>
      </c>
      <c r="E76" s="23" t="s">
        <v>1653</v>
      </c>
      <c r="F76" s="23" t="s">
        <v>1654</v>
      </c>
      <c r="G76" s="23" t="s">
        <v>1510</v>
      </c>
      <c r="H76" s="23" t="s">
        <v>1511</v>
      </c>
      <c r="I76" s="23" t="s">
        <v>1512</v>
      </c>
      <c r="J76" s="23" t="s">
        <v>1655</v>
      </c>
    </row>
    <row r="77" spans="1:10" ht="49.5" customHeight="1" x14ac:dyDescent="0.35">
      <c r="A77" s="25" t="s">
        <v>781</v>
      </c>
      <c r="B77" s="23">
        <v>2</v>
      </c>
      <c r="C77" s="25" t="s">
        <v>205</v>
      </c>
      <c r="D77" s="25" t="s">
        <v>1656</v>
      </c>
      <c r="E77" s="23" t="s">
        <v>1657</v>
      </c>
      <c r="F77" s="23" t="s">
        <v>1658</v>
      </c>
      <c r="G77" s="23" t="s">
        <v>1517</v>
      </c>
      <c r="H77" s="23" t="s">
        <v>1518</v>
      </c>
      <c r="I77" s="23" t="s">
        <v>1519</v>
      </c>
      <c r="J77" s="23" t="s">
        <v>1520</v>
      </c>
    </row>
    <row r="78" spans="1:10" ht="49.5" customHeight="1" x14ac:dyDescent="0.35">
      <c r="A78" s="26" t="s">
        <v>781</v>
      </c>
      <c r="B78" s="3">
        <v>3</v>
      </c>
      <c r="C78" s="26" t="s">
        <v>209</v>
      </c>
      <c r="D78" s="26" t="s">
        <v>1659</v>
      </c>
      <c r="E78" s="3" t="s">
        <v>1660</v>
      </c>
      <c r="F78" s="3" t="s">
        <v>1661</v>
      </c>
      <c r="G78" s="3" t="s">
        <v>1524</v>
      </c>
      <c r="H78" s="3" t="s">
        <v>1525</v>
      </c>
      <c r="I78" s="3" t="s">
        <v>1526</v>
      </c>
      <c r="J78" s="3" t="s">
        <v>1527</v>
      </c>
    </row>
    <row r="79" spans="1:10" ht="49.5" customHeight="1" x14ac:dyDescent="0.35">
      <c r="A79" s="27" t="s">
        <v>781</v>
      </c>
      <c r="B79" s="3">
        <v>4</v>
      </c>
      <c r="C79" s="27" t="s">
        <v>213</v>
      </c>
      <c r="D79" s="27" t="s">
        <v>1662</v>
      </c>
      <c r="E79" s="3" t="s">
        <v>1663</v>
      </c>
      <c r="F79" s="3" t="s">
        <v>1664</v>
      </c>
      <c r="G79" s="3" t="s">
        <v>1531</v>
      </c>
      <c r="H79" s="3" t="s">
        <v>1532</v>
      </c>
      <c r="I79" s="3" t="s">
        <v>1533</v>
      </c>
      <c r="J79" s="3" t="s">
        <v>1534</v>
      </c>
    </row>
    <row r="80" spans="1:10" ht="49.5" customHeight="1" x14ac:dyDescent="0.35">
      <c r="A80" s="28" t="s">
        <v>781</v>
      </c>
      <c r="B80" s="3">
        <v>5</v>
      </c>
      <c r="C80" s="28" t="s">
        <v>217</v>
      </c>
      <c r="D80" s="28" t="s">
        <v>1665</v>
      </c>
      <c r="E80" s="3" t="s">
        <v>1666</v>
      </c>
      <c r="F80" s="3" t="s">
        <v>1667</v>
      </c>
      <c r="G80" s="3" t="s">
        <v>1538</v>
      </c>
      <c r="H80" s="3" t="s">
        <v>1539</v>
      </c>
      <c r="I80" s="3" t="s">
        <v>1540</v>
      </c>
      <c r="J80" s="3" t="s">
        <v>1541</v>
      </c>
    </row>
    <row r="81" spans="1:10" ht="49.5" customHeight="1" x14ac:dyDescent="0.35">
      <c r="A81" s="22" t="s">
        <v>789</v>
      </c>
      <c r="B81" s="3">
        <v>0</v>
      </c>
      <c r="C81" s="22" t="s">
        <v>197</v>
      </c>
      <c r="D81" s="22" t="s">
        <v>1668</v>
      </c>
      <c r="E81" s="3" t="s">
        <v>1669</v>
      </c>
      <c r="F81" s="3" t="s">
        <v>1670</v>
      </c>
      <c r="G81" s="3" t="s">
        <v>1503</v>
      </c>
      <c r="H81" s="3" t="s">
        <v>1671</v>
      </c>
      <c r="I81" s="3" t="s">
        <v>1505</v>
      </c>
      <c r="J81" s="3" t="s">
        <v>1672</v>
      </c>
    </row>
    <row r="82" spans="1:10" ht="49.5" customHeight="1" x14ac:dyDescent="0.35">
      <c r="A82" s="24" t="s">
        <v>789</v>
      </c>
      <c r="B82" s="3">
        <v>1</v>
      </c>
      <c r="C82" s="24" t="s">
        <v>201</v>
      </c>
      <c r="D82" s="24" t="s">
        <v>1673</v>
      </c>
      <c r="E82" s="3" t="s">
        <v>1674</v>
      </c>
      <c r="F82" s="3" t="s">
        <v>1675</v>
      </c>
      <c r="G82" s="3" t="s">
        <v>1510</v>
      </c>
      <c r="H82" s="3" t="s">
        <v>1511</v>
      </c>
      <c r="I82" s="3" t="s">
        <v>1512</v>
      </c>
      <c r="J82" s="3" t="s">
        <v>1676</v>
      </c>
    </row>
    <row r="83" spans="1:10" ht="49.5" customHeight="1" x14ac:dyDescent="0.35">
      <c r="A83" s="25" t="s">
        <v>789</v>
      </c>
      <c r="B83" s="3">
        <v>2</v>
      </c>
      <c r="C83" s="25" t="s">
        <v>205</v>
      </c>
      <c r="D83" s="25" t="s">
        <v>1677</v>
      </c>
      <c r="E83" s="3" t="s">
        <v>1678</v>
      </c>
      <c r="F83" s="3" t="s">
        <v>1679</v>
      </c>
      <c r="G83" s="3" t="s">
        <v>1517</v>
      </c>
      <c r="H83" s="3" t="s">
        <v>1518</v>
      </c>
      <c r="I83" s="3" t="s">
        <v>1519</v>
      </c>
      <c r="J83" s="3" t="s">
        <v>1520</v>
      </c>
    </row>
    <row r="84" spans="1:10" ht="49.5" customHeight="1" x14ac:dyDescent="0.35">
      <c r="A84" s="26" t="s">
        <v>789</v>
      </c>
      <c r="B84" s="23">
        <v>3</v>
      </c>
      <c r="C84" s="26" t="s">
        <v>209</v>
      </c>
      <c r="D84" s="26" t="s">
        <v>1680</v>
      </c>
      <c r="E84" s="23" t="s">
        <v>1681</v>
      </c>
      <c r="F84" s="23" t="s">
        <v>1682</v>
      </c>
      <c r="G84" s="23" t="s">
        <v>1524</v>
      </c>
      <c r="H84" s="23" t="s">
        <v>1525</v>
      </c>
      <c r="I84" s="23" t="s">
        <v>1526</v>
      </c>
      <c r="J84" s="23" t="s">
        <v>1527</v>
      </c>
    </row>
    <row r="85" spans="1:10" ht="49.5" customHeight="1" x14ac:dyDescent="0.35">
      <c r="A85" s="27" t="s">
        <v>789</v>
      </c>
      <c r="B85" s="23">
        <v>4</v>
      </c>
      <c r="C85" s="27" t="s">
        <v>213</v>
      </c>
      <c r="D85" s="27" t="s">
        <v>1683</v>
      </c>
      <c r="E85" s="23" t="s">
        <v>1684</v>
      </c>
      <c r="F85" s="23" t="s">
        <v>1685</v>
      </c>
      <c r="G85" s="23" t="s">
        <v>1531</v>
      </c>
      <c r="H85" s="23" t="s">
        <v>1532</v>
      </c>
      <c r="I85" s="23" t="s">
        <v>1533</v>
      </c>
      <c r="J85" s="23" t="s">
        <v>1534</v>
      </c>
    </row>
    <row r="86" spans="1:10" ht="49.5" customHeight="1" x14ac:dyDescent="0.35">
      <c r="A86" s="28" t="s">
        <v>789</v>
      </c>
      <c r="B86" s="23">
        <v>5</v>
      </c>
      <c r="C86" s="28" t="s">
        <v>217</v>
      </c>
      <c r="D86" s="28" t="s">
        <v>1686</v>
      </c>
      <c r="E86" s="23" t="s">
        <v>1687</v>
      </c>
      <c r="F86" s="23" t="s">
        <v>1688</v>
      </c>
      <c r="G86" s="23" t="s">
        <v>1538</v>
      </c>
      <c r="H86" s="23" t="s">
        <v>1539</v>
      </c>
      <c r="I86" s="23" t="s">
        <v>1540</v>
      </c>
      <c r="J86" s="23" t="s">
        <v>1541</v>
      </c>
    </row>
    <row r="87" spans="1:10" ht="49.5" customHeight="1" x14ac:dyDescent="0.35">
      <c r="A87" s="22" t="s">
        <v>798</v>
      </c>
      <c r="B87" s="23">
        <v>0</v>
      </c>
      <c r="C87" s="22" t="s">
        <v>197</v>
      </c>
      <c r="D87" s="22" t="s">
        <v>1689</v>
      </c>
      <c r="E87" s="23" t="s">
        <v>1690</v>
      </c>
      <c r="F87" s="23" t="s">
        <v>1691</v>
      </c>
      <c r="G87" s="23" t="s">
        <v>1503</v>
      </c>
      <c r="H87" s="23" t="s">
        <v>1692</v>
      </c>
      <c r="I87" s="23" t="s">
        <v>1505</v>
      </c>
      <c r="J87" s="23" t="s">
        <v>1693</v>
      </c>
    </row>
    <row r="88" spans="1:10" ht="49.5" customHeight="1" x14ac:dyDescent="0.35">
      <c r="A88" s="24" t="s">
        <v>798</v>
      </c>
      <c r="B88" s="23">
        <v>1</v>
      </c>
      <c r="C88" s="24" t="s">
        <v>201</v>
      </c>
      <c r="D88" s="24" t="s">
        <v>1694</v>
      </c>
      <c r="E88" s="23" t="s">
        <v>1695</v>
      </c>
      <c r="F88" s="23" t="s">
        <v>1696</v>
      </c>
      <c r="G88" s="23" t="s">
        <v>1510</v>
      </c>
      <c r="H88" s="23" t="s">
        <v>1511</v>
      </c>
      <c r="I88" s="23" t="s">
        <v>1512</v>
      </c>
      <c r="J88" s="23" t="s">
        <v>1697</v>
      </c>
    </row>
    <row r="89" spans="1:10" ht="49.5" customHeight="1" x14ac:dyDescent="0.35">
      <c r="A89" s="25" t="s">
        <v>798</v>
      </c>
      <c r="B89" s="23">
        <v>2</v>
      </c>
      <c r="C89" s="25" t="s">
        <v>205</v>
      </c>
      <c r="D89" s="25" t="s">
        <v>1698</v>
      </c>
      <c r="E89" s="23" t="s">
        <v>1699</v>
      </c>
      <c r="F89" s="23" t="s">
        <v>1700</v>
      </c>
      <c r="G89" s="23" t="s">
        <v>1517</v>
      </c>
      <c r="H89" s="23" t="s">
        <v>1518</v>
      </c>
      <c r="I89" s="23" t="s">
        <v>1519</v>
      </c>
      <c r="J89" s="23" t="s">
        <v>1520</v>
      </c>
    </row>
    <row r="90" spans="1:10" ht="49.5" customHeight="1" x14ac:dyDescent="0.35">
      <c r="A90" s="26" t="s">
        <v>798</v>
      </c>
      <c r="B90" s="3">
        <v>3</v>
      </c>
      <c r="C90" s="26" t="s">
        <v>209</v>
      </c>
      <c r="D90" s="26" t="s">
        <v>1701</v>
      </c>
      <c r="E90" s="3" t="s">
        <v>1702</v>
      </c>
      <c r="F90" s="3" t="s">
        <v>1703</v>
      </c>
      <c r="G90" s="3" t="s">
        <v>1524</v>
      </c>
      <c r="H90" s="3" t="s">
        <v>1525</v>
      </c>
      <c r="I90" s="3" t="s">
        <v>1526</v>
      </c>
      <c r="J90" s="3" t="s">
        <v>1527</v>
      </c>
    </row>
    <row r="91" spans="1:10" ht="49.5" customHeight="1" x14ac:dyDescent="0.35">
      <c r="A91" s="27" t="s">
        <v>798</v>
      </c>
      <c r="B91" s="3">
        <v>4</v>
      </c>
      <c r="C91" s="27" t="s">
        <v>213</v>
      </c>
      <c r="D91" s="27" t="s">
        <v>1704</v>
      </c>
      <c r="E91" s="3" t="s">
        <v>1705</v>
      </c>
      <c r="F91" s="3" t="s">
        <v>1706</v>
      </c>
      <c r="G91" s="3" t="s">
        <v>1531</v>
      </c>
      <c r="H91" s="3" t="s">
        <v>1532</v>
      </c>
      <c r="I91" s="3" t="s">
        <v>1533</v>
      </c>
      <c r="J91" s="3" t="s">
        <v>1534</v>
      </c>
    </row>
    <row r="92" spans="1:10" ht="49.5" customHeight="1" x14ac:dyDescent="0.35">
      <c r="A92" s="28" t="s">
        <v>798</v>
      </c>
      <c r="B92" s="3">
        <v>5</v>
      </c>
      <c r="C92" s="28" t="s">
        <v>217</v>
      </c>
      <c r="D92" s="28" t="s">
        <v>1707</v>
      </c>
      <c r="E92" s="3" t="s">
        <v>1708</v>
      </c>
      <c r="F92" s="3" t="s">
        <v>1709</v>
      </c>
      <c r="G92" s="3" t="s">
        <v>1538</v>
      </c>
      <c r="H92" s="3" t="s">
        <v>1539</v>
      </c>
      <c r="I92" s="3" t="s">
        <v>1540</v>
      </c>
      <c r="J92" s="3" t="s">
        <v>1541</v>
      </c>
    </row>
    <row r="93" spans="1:10" ht="49.5" customHeight="1" x14ac:dyDescent="0.35">
      <c r="A93" s="22" t="s">
        <v>809</v>
      </c>
      <c r="B93" s="3">
        <v>0</v>
      </c>
      <c r="C93" s="22" t="s">
        <v>197</v>
      </c>
      <c r="D93" s="22" t="s">
        <v>1710</v>
      </c>
      <c r="E93" s="3" t="s">
        <v>1711</v>
      </c>
      <c r="F93" s="3" t="s">
        <v>1712</v>
      </c>
      <c r="G93" s="3" t="s">
        <v>1503</v>
      </c>
      <c r="H93" s="3" t="s">
        <v>1713</v>
      </c>
      <c r="I93" s="3" t="s">
        <v>1505</v>
      </c>
      <c r="J93" s="3" t="s">
        <v>1714</v>
      </c>
    </row>
    <row r="94" spans="1:10" ht="49.5" customHeight="1" x14ac:dyDescent="0.35">
      <c r="A94" s="24" t="s">
        <v>809</v>
      </c>
      <c r="B94" s="3">
        <v>1</v>
      </c>
      <c r="C94" s="24" t="s">
        <v>201</v>
      </c>
      <c r="D94" s="24" t="s">
        <v>1715</v>
      </c>
      <c r="E94" s="3" t="s">
        <v>1716</v>
      </c>
      <c r="F94" s="3" t="s">
        <v>1717</v>
      </c>
      <c r="G94" s="3" t="s">
        <v>1510</v>
      </c>
      <c r="H94" s="3" t="s">
        <v>1511</v>
      </c>
      <c r="I94" s="3" t="s">
        <v>1512</v>
      </c>
      <c r="J94" s="3" t="s">
        <v>1718</v>
      </c>
    </row>
    <row r="95" spans="1:10" ht="49.5" customHeight="1" x14ac:dyDescent="0.35">
      <c r="A95" s="25" t="s">
        <v>809</v>
      </c>
      <c r="B95" s="3">
        <v>2</v>
      </c>
      <c r="C95" s="25" t="s">
        <v>205</v>
      </c>
      <c r="D95" s="25" t="s">
        <v>1719</v>
      </c>
      <c r="E95" s="3" t="s">
        <v>1720</v>
      </c>
      <c r="F95" s="3" t="s">
        <v>1721</v>
      </c>
      <c r="G95" s="3" t="s">
        <v>1517</v>
      </c>
      <c r="H95" s="3" t="s">
        <v>1518</v>
      </c>
      <c r="I95" s="3" t="s">
        <v>1519</v>
      </c>
      <c r="J95" s="3" t="s">
        <v>1520</v>
      </c>
    </row>
    <row r="96" spans="1:10" ht="49.5" customHeight="1" x14ac:dyDescent="0.35">
      <c r="A96" s="26" t="s">
        <v>809</v>
      </c>
      <c r="B96" s="23">
        <v>3</v>
      </c>
      <c r="C96" s="26" t="s">
        <v>209</v>
      </c>
      <c r="D96" s="26" t="s">
        <v>1722</v>
      </c>
      <c r="E96" s="23" t="s">
        <v>1723</v>
      </c>
      <c r="F96" s="23" t="s">
        <v>1724</v>
      </c>
      <c r="G96" s="23" t="s">
        <v>1524</v>
      </c>
      <c r="H96" s="23" t="s">
        <v>1525</v>
      </c>
      <c r="I96" s="23" t="s">
        <v>1526</v>
      </c>
      <c r="J96" s="23" t="s">
        <v>1527</v>
      </c>
    </row>
    <row r="97" spans="1:10" ht="49.5" customHeight="1" x14ac:dyDescent="0.35">
      <c r="A97" s="27" t="s">
        <v>809</v>
      </c>
      <c r="B97" s="23">
        <v>4</v>
      </c>
      <c r="C97" s="27" t="s">
        <v>213</v>
      </c>
      <c r="D97" s="27" t="s">
        <v>1725</v>
      </c>
      <c r="E97" s="23" t="s">
        <v>1726</v>
      </c>
      <c r="F97" s="23" t="s">
        <v>1727</v>
      </c>
      <c r="G97" s="23" t="s">
        <v>1531</v>
      </c>
      <c r="H97" s="23" t="s">
        <v>1532</v>
      </c>
      <c r="I97" s="23" t="s">
        <v>1533</v>
      </c>
      <c r="J97" s="23" t="s">
        <v>1534</v>
      </c>
    </row>
    <row r="98" spans="1:10" ht="49.5" customHeight="1" x14ac:dyDescent="0.35">
      <c r="A98" s="28" t="s">
        <v>809</v>
      </c>
      <c r="B98" s="23">
        <v>5</v>
      </c>
      <c r="C98" s="28" t="s">
        <v>217</v>
      </c>
      <c r="D98" s="28" t="s">
        <v>1728</v>
      </c>
      <c r="E98" s="23" t="s">
        <v>1729</v>
      </c>
      <c r="F98" s="23" t="s">
        <v>1730</v>
      </c>
      <c r="G98" s="23" t="s">
        <v>1538</v>
      </c>
      <c r="H98" s="23" t="s">
        <v>1539</v>
      </c>
      <c r="I98" s="23" t="s">
        <v>1540</v>
      </c>
      <c r="J98" s="23" t="s">
        <v>1541</v>
      </c>
    </row>
    <row r="99" spans="1:10" ht="49.5" customHeight="1" x14ac:dyDescent="0.35">
      <c r="A99" s="22" t="s">
        <v>818</v>
      </c>
      <c r="B99" s="23">
        <v>0</v>
      </c>
      <c r="C99" s="22" t="s">
        <v>197</v>
      </c>
      <c r="D99" s="22" t="s">
        <v>1731</v>
      </c>
      <c r="E99" s="23" t="s">
        <v>1732</v>
      </c>
      <c r="F99" s="23" t="s">
        <v>1733</v>
      </c>
      <c r="G99" s="23" t="s">
        <v>1503</v>
      </c>
      <c r="H99" s="23" t="s">
        <v>1734</v>
      </c>
      <c r="I99" s="23" t="s">
        <v>1505</v>
      </c>
      <c r="J99" s="23" t="s">
        <v>1735</v>
      </c>
    </row>
    <row r="100" spans="1:10" ht="49.5" customHeight="1" x14ac:dyDescent="0.35">
      <c r="A100" s="24" t="s">
        <v>818</v>
      </c>
      <c r="B100" s="23">
        <v>1</v>
      </c>
      <c r="C100" s="24" t="s">
        <v>201</v>
      </c>
      <c r="D100" s="24" t="s">
        <v>1736</v>
      </c>
      <c r="E100" s="23" t="s">
        <v>1737</v>
      </c>
      <c r="F100" s="23" t="s">
        <v>1738</v>
      </c>
      <c r="G100" s="23" t="s">
        <v>1510</v>
      </c>
      <c r="H100" s="23" t="s">
        <v>1511</v>
      </c>
      <c r="I100" s="23" t="s">
        <v>1512</v>
      </c>
      <c r="J100" s="23" t="s">
        <v>1739</v>
      </c>
    </row>
    <row r="101" spans="1:10" ht="49.5" customHeight="1" x14ac:dyDescent="0.35">
      <c r="A101" s="25" t="s">
        <v>818</v>
      </c>
      <c r="B101" s="23">
        <v>2</v>
      </c>
      <c r="C101" s="25" t="s">
        <v>205</v>
      </c>
      <c r="D101" s="25" t="s">
        <v>1740</v>
      </c>
      <c r="E101" s="23" t="s">
        <v>1741</v>
      </c>
      <c r="F101" s="23" t="s">
        <v>1742</v>
      </c>
      <c r="G101" s="23" t="s">
        <v>1517</v>
      </c>
      <c r="H101" s="23" t="s">
        <v>1518</v>
      </c>
      <c r="I101" s="23" t="s">
        <v>1519</v>
      </c>
      <c r="J101" s="23" t="s">
        <v>1520</v>
      </c>
    </row>
    <row r="102" spans="1:10" ht="49.5" customHeight="1" x14ac:dyDescent="0.35">
      <c r="A102" s="26" t="s">
        <v>818</v>
      </c>
      <c r="B102" s="3">
        <v>3</v>
      </c>
      <c r="C102" s="26" t="s">
        <v>209</v>
      </c>
      <c r="D102" s="26" t="s">
        <v>1743</v>
      </c>
      <c r="E102" s="3" t="s">
        <v>1744</v>
      </c>
      <c r="F102" s="3" t="s">
        <v>1745</v>
      </c>
      <c r="G102" s="3" t="s">
        <v>1524</v>
      </c>
      <c r="H102" s="3" t="s">
        <v>1525</v>
      </c>
      <c r="I102" s="3" t="s">
        <v>1526</v>
      </c>
      <c r="J102" s="3" t="s">
        <v>1527</v>
      </c>
    </row>
    <row r="103" spans="1:10" ht="49.5" customHeight="1" x14ac:dyDescent="0.35">
      <c r="A103" s="27" t="s">
        <v>818</v>
      </c>
      <c r="B103" s="3">
        <v>4</v>
      </c>
      <c r="C103" s="27" t="s">
        <v>213</v>
      </c>
      <c r="D103" s="27" t="s">
        <v>1746</v>
      </c>
      <c r="E103" s="3" t="s">
        <v>1747</v>
      </c>
      <c r="F103" s="3" t="s">
        <v>1748</v>
      </c>
      <c r="G103" s="3" t="s">
        <v>1531</v>
      </c>
      <c r="H103" s="3" t="s">
        <v>1532</v>
      </c>
      <c r="I103" s="3" t="s">
        <v>1533</v>
      </c>
      <c r="J103" s="3" t="s">
        <v>1534</v>
      </c>
    </row>
    <row r="104" spans="1:10" ht="49.5" customHeight="1" x14ac:dyDescent="0.35">
      <c r="A104" s="28" t="s">
        <v>818</v>
      </c>
      <c r="B104" s="3">
        <v>5</v>
      </c>
      <c r="C104" s="28" t="s">
        <v>217</v>
      </c>
      <c r="D104" s="28" t="s">
        <v>1749</v>
      </c>
      <c r="E104" s="3" t="s">
        <v>1750</v>
      </c>
      <c r="F104" s="3" t="s">
        <v>1751</v>
      </c>
      <c r="G104" s="3" t="s">
        <v>1538</v>
      </c>
      <c r="H104" s="3" t="s">
        <v>1539</v>
      </c>
      <c r="I104" s="3" t="s">
        <v>1540</v>
      </c>
      <c r="J104" s="3" t="s">
        <v>1541</v>
      </c>
    </row>
    <row r="105" spans="1:10" ht="49.5" customHeight="1" x14ac:dyDescent="0.35">
      <c r="A105" s="22" t="s">
        <v>828</v>
      </c>
      <c r="B105" s="3">
        <v>0</v>
      </c>
      <c r="C105" s="22" t="s">
        <v>197</v>
      </c>
      <c r="D105" s="22" t="s">
        <v>1752</v>
      </c>
      <c r="E105" s="3" t="s">
        <v>1753</v>
      </c>
      <c r="F105" s="3" t="s">
        <v>1754</v>
      </c>
      <c r="G105" s="3" t="s">
        <v>1503</v>
      </c>
      <c r="H105" s="3" t="s">
        <v>1755</v>
      </c>
      <c r="I105" s="3" t="s">
        <v>1505</v>
      </c>
      <c r="J105" s="3" t="s">
        <v>1756</v>
      </c>
    </row>
    <row r="106" spans="1:10" ht="49.5" customHeight="1" x14ac:dyDescent="0.35">
      <c r="A106" s="24" t="s">
        <v>828</v>
      </c>
      <c r="B106" s="3">
        <v>1</v>
      </c>
      <c r="C106" s="24" t="s">
        <v>201</v>
      </c>
      <c r="D106" s="24" t="s">
        <v>1757</v>
      </c>
      <c r="E106" s="3" t="s">
        <v>1758</v>
      </c>
      <c r="F106" s="3" t="s">
        <v>1759</v>
      </c>
      <c r="G106" s="3" t="s">
        <v>1510</v>
      </c>
      <c r="H106" s="3" t="s">
        <v>1511</v>
      </c>
      <c r="I106" s="3" t="s">
        <v>1512</v>
      </c>
      <c r="J106" s="3" t="s">
        <v>1760</v>
      </c>
    </row>
    <row r="107" spans="1:10" ht="49.5" customHeight="1" x14ac:dyDescent="0.35">
      <c r="A107" s="25" t="s">
        <v>828</v>
      </c>
      <c r="B107" s="3">
        <v>2</v>
      </c>
      <c r="C107" s="25" t="s">
        <v>205</v>
      </c>
      <c r="D107" s="25" t="s">
        <v>1761</v>
      </c>
      <c r="E107" s="3" t="s">
        <v>1762</v>
      </c>
      <c r="F107" s="3" t="s">
        <v>1763</v>
      </c>
      <c r="G107" s="3" t="s">
        <v>1517</v>
      </c>
      <c r="H107" s="3" t="s">
        <v>1518</v>
      </c>
      <c r="I107" s="3" t="s">
        <v>1519</v>
      </c>
      <c r="J107" s="3" t="s">
        <v>1520</v>
      </c>
    </row>
    <row r="108" spans="1:10" ht="49.5" customHeight="1" x14ac:dyDescent="0.35">
      <c r="A108" s="26" t="s">
        <v>828</v>
      </c>
      <c r="B108" s="23">
        <v>3</v>
      </c>
      <c r="C108" s="26" t="s">
        <v>209</v>
      </c>
      <c r="D108" s="26" t="s">
        <v>1764</v>
      </c>
      <c r="E108" s="23" t="s">
        <v>1765</v>
      </c>
      <c r="F108" s="23" t="s">
        <v>1766</v>
      </c>
      <c r="G108" s="23" t="s">
        <v>1524</v>
      </c>
      <c r="H108" s="23" t="s">
        <v>1525</v>
      </c>
      <c r="I108" s="23" t="s">
        <v>1526</v>
      </c>
      <c r="J108" s="23" t="s">
        <v>1527</v>
      </c>
    </row>
    <row r="109" spans="1:10" ht="49.5" customHeight="1" x14ac:dyDescent="0.35">
      <c r="A109" s="27" t="s">
        <v>828</v>
      </c>
      <c r="B109" s="23">
        <v>4</v>
      </c>
      <c r="C109" s="27" t="s">
        <v>213</v>
      </c>
      <c r="D109" s="27" t="s">
        <v>1767</v>
      </c>
      <c r="E109" s="23" t="s">
        <v>1768</v>
      </c>
      <c r="F109" s="23" t="s">
        <v>1769</v>
      </c>
      <c r="G109" s="23" t="s">
        <v>1531</v>
      </c>
      <c r="H109" s="23" t="s">
        <v>1532</v>
      </c>
      <c r="I109" s="23" t="s">
        <v>1533</v>
      </c>
      <c r="J109" s="23" t="s">
        <v>1534</v>
      </c>
    </row>
    <row r="110" spans="1:10" ht="49.5" customHeight="1" x14ac:dyDescent="0.35">
      <c r="A110" s="28" t="s">
        <v>828</v>
      </c>
      <c r="B110" s="23">
        <v>5</v>
      </c>
      <c r="C110" s="28" t="s">
        <v>217</v>
      </c>
      <c r="D110" s="28" t="s">
        <v>1770</v>
      </c>
      <c r="E110" s="23" t="s">
        <v>1771</v>
      </c>
      <c r="F110" s="23" t="s">
        <v>1772</v>
      </c>
      <c r="G110" s="23" t="s">
        <v>1538</v>
      </c>
      <c r="H110" s="23" t="s">
        <v>1539</v>
      </c>
      <c r="I110" s="23" t="s">
        <v>1540</v>
      </c>
      <c r="J110" s="23" t="s">
        <v>1541</v>
      </c>
    </row>
    <row r="111" spans="1:10" ht="49.5" customHeight="1" x14ac:dyDescent="0.35">
      <c r="A111" s="22" t="s">
        <v>838</v>
      </c>
      <c r="B111" s="23">
        <v>0</v>
      </c>
      <c r="C111" s="22" t="s">
        <v>197</v>
      </c>
      <c r="D111" s="22" t="s">
        <v>1773</v>
      </c>
      <c r="E111" s="23" t="s">
        <v>1774</v>
      </c>
      <c r="F111" s="23" t="s">
        <v>1775</v>
      </c>
      <c r="G111" s="23" t="s">
        <v>1503</v>
      </c>
      <c r="H111" s="23" t="s">
        <v>1776</v>
      </c>
      <c r="I111" s="23" t="s">
        <v>1505</v>
      </c>
      <c r="J111" s="23" t="s">
        <v>1777</v>
      </c>
    </row>
    <row r="112" spans="1:10" ht="49.5" customHeight="1" x14ac:dyDescent="0.35">
      <c r="A112" s="24" t="s">
        <v>838</v>
      </c>
      <c r="B112" s="23">
        <v>1</v>
      </c>
      <c r="C112" s="24" t="s">
        <v>201</v>
      </c>
      <c r="D112" s="24" t="s">
        <v>1778</v>
      </c>
      <c r="E112" s="23" t="s">
        <v>1779</v>
      </c>
      <c r="F112" s="23" t="s">
        <v>1780</v>
      </c>
      <c r="G112" s="23" t="s">
        <v>1510</v>
      </c>
      <c r="H112" s="23" t="s">
        <v>1511</v>
      </c>
      <c r="I112" s="23" t="s">
        <v>1512</v>
      </c>
      <c r="J112" s="23" t="s">
        <v>1781</v>
      </c>
    </row>
    <row r="113" spans="1:10" ht="49.5" customHeight="1" x14ac:dyDescent="0.35">
      <c r="A113" s="25" t="s">
        <v>838</v>
      </c>
      <c r="B113" s="23">
        <v>2</v>
      </c>
      <c r="C113" s="25" t="s">
        <v>205</v>
      </c>
      <c r="D113" s="25" t="s">
        <v>1782</v>
      </c>
      <c r="E113" s="23" t="s">
        <v>1783</v>
      </c>
      <c r="F113" s="23" t="s">
        <v>1784</v>
      </c>
      <c r="G113" s="23" t="s">
        <v>1517</v>
      </c>
      <c r="H113" s="23" t="s">
        <v>1518</v>
      </c>
      <c r="I113" s="23" t="s">
        <v>1519</v>
      </c>
      <c r="J113" s="23" t="s">
        <v>1520</v>
      </c>
    </row>
    <row r="114" spans="1:10" ht="49.5" customHeight="1" x14ac:dyDescent="0.35">
      <c r="A114" s="26" t="s">
        <v>838</v>
      </c>
      <c r="B114" s="3">
        <v>3</v>
      </c>
      <c r="C114" s="26" t="s">
        <v>209</v>
      </c>
      <c r="D114" s="26" t="s">
        <v>1785</v>
      </c>
      <c r="E114" s="3" t="s">
        <v>1786</v>
      </c>
      <c r="F114" s="3" t="s">
        <v>1787</v>
      </c>
      <c r="G114" s="3" t="s">
        <v>1524</v>
      </c>
      <c r="H114" s="3" t="s">
        <v>1525</v>
      </c>
      <c r="I114" s="3" t="s">
        <v>1526</v>
      </c>
      <c r="J114" s="3" t="s">
        <v>1527</v>
      </c>
    </row>
    <row r="115" spans="1:10" ht="49.5" customHeight="1" x14ac:dyDescent="0.35">
      <c r="A115" s="27" t="s">
        <v>838</v>
      </c>
      <c r="B115" s="3">
        <v>4</v>
      </c>
      <c r="C115" s="27" t="s">
        <v>213</v>
      </c>
      <c r="D115" s="27" t="s">
        <v>1788</v>
      </c>
      <c r="E115" s="3" t="s">
        <v>1789</v>
      </c>
      <c r="F115" s="3" t="s">
        <v>1790</v>
      </c>
      <c r="G115" s="3" t="s">
        <v>1531</v>
      </c>
      <c r="H115" s="3" t="s">
        <v>1532</v>
      </c>
      <c r="I115" s="3" t="s">
        <v>1533</v>
      </c>
      <c r="J115" s="3" t="s">
        <v>1534</v>
      </c>
    </row>
    <row r="116" spans="1:10" ht="49.5" customHeight="1" x14ac:dyDescent="0.35">
      <c r="A116" s="28" t="s">
        <v>838</v>
      </c>
      <c r="B116" s="3">
        <v>5</v>
      </c>
      <c r="C116" s="28" t="s">
        <v>217</v>
      </c>
      <c r="D116" s="28" t="s">
        <v>1791</v>
      </c>
      <c r="E116" s="3" t="s">
        <v>1792</v>
      </c>
      <c r="F116" s="3" t="s">
        <v>1793</v>
      </c>
      <c r="G116" s="3" t="s">
        <v>1538</v>
      </c>
      <c r="H116" s="3" t="s">
        <v>1539</v>
      </c>
      <c r="I116" s="3" t="s">
        <v>1540</v>
      </c>
      <c r="J116" s="3" t="s">
        <v>1541</v>
      </c>
    </row>
    <row r="117" spans="1:10" ht="49.5" customHeight="1" x14ac:dyDescent="0.35">
      <c r="A117" s="22" t="s">
        <v>847</v>
      </c>
      <c r="B117" s="3">
        <v>0</v>
      </c>
      <c r="C117" s="22" t="s">
        <v>197</v>
      </c>
      <c r="D117" s="22" t="s">
        <v>1794</v>
      </c>
      <c r="E117" s="3" t="s">
        <v>1795</v>
      </c>
      <c r="F117" s="3" t="s">
        <v>1796</v>
      </c>
      <c r="G117" s="3" t="s">
        <v>1503</v>
      </c>
      <c r="H117" s="3" t="s">
        <v>1797</v>
      </c>
      <c r="I117" s="3" t="s">
        <v>1505</v>
      </c>
      <c r="J117" s="3" t="s">
        <v>1798</v>
      </c>
    </row>
    <row r="118" spans="1:10" ht="49.5" customHeight="1" x14ac:dyDescent="0.35">
      <c r="A118" s="24" t="s">
        <v>847</v>
      </c>
      <c r="B118" s="3">
        <v>1</v>
      </c>
      <c r="C118" s="24" t="s">
        <v>201</v>
      </c>
      <c r="D118" s="24" t="s">
        <v>1799</v>
      </c>
      <c r="E118" s="3" t="s">
        <v>1800</v>
      </c>
      <c r="F118" s="3" t="s">
        <v>1801</v>
      </c>
      <c r="G118" s="3" t="s">
        <v>1510</v>
      </c>
      <c r="H118" s="3" t="s">
        <v>1511</v>
      </c>
      <c r="I118" s="3" t="s">
        <v>1512</v>
      </c>
      <c r="J118" s="3" t="s">
        <v>1802</v>
      </c>
    </row>
    <row r="119" spans="1:10" ht="49.5" customHeight="1" x14ac:dyDescent="0.35">
      <c r="A119" s="25" t="s">
        <v>847</v>
      </c>
      <c r="B119" s="3">
        <v>2</v>
      </c>
      <c r="C119" s="25" t="s">
        <v>205</v>
      </c>
      <c r="D119" s="25" t="s">
        <v>1803</v>
      </c>
      <c r="E119" s="3" t="s">
        <v>1804</v>
      </c>
      <c r="F119" s="3" t="s">
        <v>1805</v>
      </c>
      <c r="G119" s="3" t="s">
        <v>1517</v>
      </c>
      <c r="H119" s="3" t="s">
        <v>1518</v>
      </c>
      <c r="I119" s="3" t="s">
        <v>1519</v>
      </c>
      <c r="J119" s="3" t="s">
        <v>1520</v>
      </c>
    </row>
    <row r="120" spans="1:10" ht="49.5" customHeight="1" x14ac:dyDescent="0.35">
      <c r="A120" s="26" t="s">
        <v>847</v>
      </c>
      <c r="B120" s="23">
        <v>3</v>
      </c>
      <c r="C120" s="26" t="s">
        <v>209</v>
      </c>
      <c r="D120" s="26" t="s">
        <v>1806</v>
      </c>
      <c r="E120" s="23" t="s">
        <v>1807</v>
      </c>
      <c r="F120" s="23" t="s">
        <v>1808</v>
      </c>
      <c r="G120" s="23" t="s">
        <v>1524</v>
      </c>
      <c r="H120" s="23" t="s">
        <v>1525</v>
      </c>
      <c r="I120" s="23" t="s">
        <v>1526</v>
      </c>
      <c r="J120" s="23" t="s">
        <v>1527</v>
      </c>
    </row>
    <row r="121" spans="1:10" ht="49.5" customHeight="1" x14ac:dyDescent="0.35">
      <c r="A121" s="27" t="s">
        <v>847</v>
      </c>
      <c r="B121" s="23">
        <v>4</v>
      </c>
      <c r="C121" s="27" t="s">
        <v>213</v>
      </c>
      <c r="D121" s="27" t="s">
        <v>1809</v>
      </c>
      <c r="E121" s="23" t="s">
        <v>1810</v>
      </c>
      <c r="F121" s="23" t="s">
        <v>1811</v>
      </c>
      <c r="G121" s="23" t="s">
        <v>1531</v>
      </c>
      <c r="H121" s="23" t="s">
        <v>1532</v>
      </c>
      <c r="I121" s="23" t="s">
        <v>1533</v>
      </c>
      <c r="J121" s="23" t="s">
        <v>1534</v>
      </c>
    </row>
    <row r="122" spans="1:10" ht="49.5" customHeight="1" x14ac:dyDescent="0.35">
      <c r="A122" s="28" t="s">
        <v>847</v>
      </c>
      <c r="B122" s="23">
        <v>5</v>
      </c>
      <c r="C122" s="28" t="s">
        <v>217</v>
      </c>
      <c r="D122" s="28" t="s">
        <v>1812</v>
      </c>
      <c r="E122" s="23" t="s">
        <v>1813</v>
      </c>
      <c r="F122" s="23" t="s">
        <v>1814</v>
      </c>
      <c r="G122" s="23" t="s">
        <v>1538</v>
      </c>
      <c r="H122" s="23" t="s">
        <v>1539</v>
      </c>
      <c r="I122" s="23" t="s">
        <v>1540</v>
      </c>
      <c r="J122" s="23" t="s">
        <v>1541</v>
      </c>
    </row>
    <row r="123" spans="1:10" ht="49.5" customHeight="1" x14ac:dyDescent="0.35">
      <c r="A123" s="22" t="s">
        <v>858</v>
      </c>
      <c r="B123" s="23">
        <v>0</v>
      </c>
      <c r="C123" s="22" t="s">
        <v>197</v>
      </c>
      <c r="D123" s="22" t="s">
        <v>1815</v>
      </c>
      <c r="E123" s="23" t="s">
        <v>1816</v>
      </c>
      <c r="F123" s="23" t="s">
        <v>1817</v>
      </c>
      <c r="G123" s="23" t="s">
        <v>1503</v>
      </c>
      <c r="H123" s="23" t="s">
        <v>1818</v>
      </c>
      <c r="I123" s="23" t="s">
        <v>1505</v>
      </c>
      <c r="J123" s="23" t="s">
        <v>1819</v>
      </c>
    </row>
    <row r="124" spans="1:10" ht="49.5" customHeight="1" x14ac:dyDescent="0.35">
      <c r="A124" s="24" t="s">
        <v>858</v>
      </c>
      <c r="B124" s="23">
        <v>1</v>
      </c>
      <c r="C124" s="24" t="s">
        <v>201</v>
      </c>
      <c r="D124" s="24" t="s">
        <v>1820</v>
      </c>
      <c r="E124" s="23" t="s">
        <v>1821</v>
      </c>
      <c r="F124" s="23" t="s">
        <v>1822</v>
      </c>
      <c r="G124" s="23" t="s">
        <v>1510</v>
      </c>
      <c r="H124" s="23" t="s">
        <v>1511</v>
      </c>
      <c r="I124" s="23" t="s">
        <v>1512</v>
      </c>
      <c r="J124" s="23" t="s">
        <v>1823</v>
      </c>
    </row>
    <row r="125" spans="1:10" ht="49.5" customHeight="1" x14ac:dyDescent="0.35">
      <c r="A125" s="25" t="s">
        <v>858</v>
      </c>
      <c r="B125" s="23">
        <v>2</v>
      </c>
      <c r="C125" s="25" t="s">
        <v>205</v>
      </c>
      <c r="D125" s="25" t="s">
        <v>1824</v>
      </c>
      <c r="E125" s="23" t="s">
        <v>1825</v>
      </c>
      <c r="F125" s="23" t="s">
        <v>1826</v>
      </c>
      <c r="G125" s="23" t="s">
        <v>1517</v>
      </c>
      <c r="H125" s="23" t="s">
        <v>1518</v>
      </c>
      <c r="I125" s="23" t="s">
        <v>1519</v>
      </c>
      <c r="J125" s="23" t="s">
        <v>1520</v>
      </c>
    </row>
    <row r="126" spans="1:10" ht="49.5" customHeight="1" x14ac:dyDescent="0.35">
      <c r="A126" s="26" t="s">
        <v>858</v>
      </c>
      <c r="B126" s="3">
        <v>3</v>
      </c>
      <c r="C126" s="26" t="s">
        <v>209</v>
      </c>
      <c r="D126" s="26" t="s">
        <v>1827</v>
      </c>
      <c r="E126" s="3" t="s">
        <v>1828</v>
      </c>
      <c r="F126" s="3" t="s">
        <v>1829</v>
      </c>
      <c r="G126" s="3" t="s">
        <v>1524</v>
      </c>
      <c r="H126" s="3" t="s">
        <v>1525</v>
      </c>
      <c r="I126" s="3" t="s">
        <v>1526</v>
      </c>
      <c r="J126" s="3" t="s">
        <v>1527</v>
      </c>
    </row>
    <row r="127" spans="1:10" ht="49.5" customHeight="1" x14ac:dyDescent="0.35">
      <c r="A127" s="27" t="s">
        <v>858</v>
      </c>
      <c r="B127" s="3">
        <v>4</v>
      </c>
      <c r="C127" s="27" t="s">
        <v>213</v>
      </c>
      <c r="D127" s="27" t="s">
        <v>1830</v>
      </c>
      <c r="E127" s="3" t="s">
        <v>1831</v>
      </c>
      <c r="F127" s="3" t="s">
        <v>1832</v>
      </c>
      <c r="G127" s="3" t="s">
        <v>1531</v>
      </c>
      <c r="H127" s="3" t="s">
        <v>1532</v>
      </c>
      <c r="I127" s="3" t="s">
        <v>1533</v>
      </c>
      <c r="J127" s="3" t="s">
        <v>1534</v>
      </c>
    </row>
    <row r="128" spans="1:10" ht="49.5" customHeight="1" x14ac:dyDescent="0.35">
      <c r="A128" s="28" t="s">
        <v>858</v>
      </c>
      <c r="B128" s="3">
        <v>5</v>
      </c>
      <c r="C128" s="28" t="s">
        <v>217</v>
      </c>
      <c r="D128" s="28" t="s">
        <v>1833</v>
      </c>
      <c r="E128" s="3" t="s">
        <v>1834</v>
      </c>
      <c r="F128" s="3" t="s">
        <v>1835</v>
      </c>
      <c r="G128" s="3" t="s">
        <v>1538</v>
      </c>
      <c r="H128" s="3" t="s">
        <v>1539</v>
      </c>
      <c r="I128" s="3" t="s">
        <v>1540</v>
      </c>
      <c r="J128" s="3" t="s">
        <v>1541</v>
      </c>
    </row>
    <row r="129" spans="1:10" ht="49.5" customHeight="1" x14ac:dyDescent="0.35">
      <c r="A129" s="22" t="s">
        <v>866</v>
      </c>
      <c r="B129" s="3">
        <v>0</v>
      </c>
      <c r="C129" s="22" t="s">
        <v>197</v>
      </c>
      <c r="D129" s="22" t="s">
        <v>1836</v>
      </c>
      <c r="E129" s="3" t="s">
        <v>1837</v>
      </c>
      <c r="F129" s="3" t="s">
        <v>1838</v>
      </c>
      <c r="G129" s="3" t="s">
        <v>1503</v>
      </c>
      <c r="H129" s="3" t="s">
        <v>1839</v>
      </c>
      <c r="I129" s="3" t="s">
        <v>1505</v>
      </c>
      <c r="J129" s="3" t="s">
        <v>1840</v>
      </c>
    </row>
    <row r="130" spans="1:10" ht="49.5" customHeight="1" x14ac:dyDescent="0.35">
      <c r="A130" s="24" t="s">
        <v>866</v>
      </c>
      <c r="B130" s="3">
        <v>1</v>
      </c>
      <c r="C130" s="24" t="s">
        <v>201</v>
      </c>
      <c r="D130" s="24" t="s">
        <v>1841</v>
      </c>
      <c r="E130" s="3" t="s">
        <v>1842</v>
      </c>
      <c r="F130" s="3" t="s">
        <v>1843</v>
      </c>
      <c r="G130" s="3" t="s">
        <v>1510</v>
      </c>
      <c r="H130" s="3" t="s">
        <v>1511</v>
      </c>
      <c r="I130" s="3" t="s">
        <v>1512</v>
      </c>
      <c r="J130" s="3" t="s">
        <v>1844</v>
      </c>
    </row>
    <row r="131" spans="1:10" ht="49.5" customHeight="1" x14ac:dyDescent="0.35">
      <c r="A131" s="25" t="s">
        <v>866</v>
      </c>
      <c r="B131" s="3">
        <v>2</v>
      </c>
      <c r="C131" s="25" t="s">
        <v>205</v>
      </c>
      <c r="D131" s="25" t="s">
        <v>1845</v>
      </c>
      <c r="E131" s="3" t="s">
        <v>1846</v>
      </c>
      <c r="F131" s="3" t="s">
        <v>1847</v>
      </c>
      <c r="G131" s="3" t="s">
        <v>1517</v>
      </c>
      <c r="H131" s="3" t="s">
        <v>1518</v>
      </c>
      <c r="I131" s="3" t="s">
        <v>1519</v>
      </c>
      <c r="J131" s="3" t="s">
        <v>1520</v>
      </c>
    </row>
    <row r="132" spans="1:10" ht="49.5" customHeight="1" x14ac:dyDescent="0.35">
      <c r="A132" s="26" t="s">
        <v>866</v>
      </c>
      <c r="B132" s="23">
        <v>3</v>
      </c>
      <c r="C132" s="26" t="s">
        <v>209</v>
      </c>
      <c r="D132" s="26" t="s">
        <v>1848</v>
      </c>
      <c r="E132" s="23" t="s">
        <v>1849</v>
      </c>
      <c r="F132" s="23" t="s">
        <v>1850</v>
      </c>
      <c r="G132" s="23" t="s">
        <v>1524</v>
      </c>
      <c r="H132" s="23" t="s">
        <v>1525</v>
      </c>
      <c r="I132" s="23" t="s">
        <v>1526</v>
      </c>
      <c r="J132" s="23" t="s">
        <v>1527</v>
      </c>
    </row>
    <row r="133" spans="1:10" ht="49.5" customHeight="1" x14ac:dyDescent="0.35">
      <c r="A133" s="27" t="s">
        <v>866</v>
      </c>
      <c r="B133" s="23">
        <v>4</v>
      </c>
      <c r="C133" s="27" t="s">
        <v>213</v>
      </c>
      <c r="D133" s="27" t="s">
        <v>1851</v>
      </c>
      <c r="E133" s="23" t="s">
        <v>1852</v>
      </c>
      <c r="F133" s="23" t="s">
        <v>1853</v>
      </c>
      <c r="G133" s="23" t="s">
        <v>1531</v>
      </c>
      <c r="H133" s="23" t="s">
        <v>1532</v>
      </c>
      <c r="I133" s="23" t="s">
        <v>1533</v>
      </c>
      <c r="J133" s="23" t="s">
        <v>1534</v>
      </c>
    </row>
    <row r="134" spans="1:10" ht="49.5" customHeight="1" x14ac:dyDescent="0.35">
      <c r="A134" s="28" t="s">
        <v>866</v>
      </c>
      <c r="B134" s="23">
        <v>5</v>
      </c>
      <c r="C134" s="28" t="s">
        <v>217</v>
      </c>
      <c r="D134" s="28" t="s">
        <v>1854</v>
      </c>
      <c r="E134" s="23" t="s">
        <v>1855</v>
      </c>
      <c r="F134" s="23" t="s">
        <v>1856</v>
      </c>
      <c r="G134" s="23" t="s">
        <v>1538</v>
      </c>
      <c r="H134" s="23" t="s">
        <v>1539</v>
      </c>
      <c r="I134" s="23" t="s">
        <v>1540</v>
      </c>
      <c r="J134" s="23" t="s">
        <v>1541</v>
      </c>
    </row>
    <row r="135" spans="1:10" ht="49.5" customHeight="1" x14ac:dyDescent="0.35">
      <c r="A135" s="22" t="s">
        <v>875</v>
      </c>
      <c r="B135" s="23">
        <v>0</v>
      </c>
      <c r="C135" s="22" t="s">
        <v>197</v>
      </c>
      <c r="D135" s="22" t="s">
        <v>1857</v>
      </c>
      <c r="E135" s="23" t="s">
        <v>1858</v>
      </c>
      <c r="F135" s="23" t="s">
        <v>1859</v>
      </c>
      <c r="G135" s="23" t="s">
        <v>1503</v>
      </c>
      <c r="H135" s="23" t="s">
        <v>1860</v>
      </c>
      <c r="I135" s="23" t="s">
        <v>1505</v>
      </c>
      <c r="J135" s="23" t="s">
        <v>1861</v>
      </c>
    </row>
    <row r="136" spans="1:10" ht="49.5" customHeight="1" x14ac:dyDescent="0.35">
      <c r="A136" s="24" t="s">
        <v>875</v>
      </c>
      <c r="B136" s="23">
        <v>1</v>
      </c>
      <c r="C136" s="24" t="s">
        <v>201</v>
      </c>
      <c r="D136" s="24" t="s">
        <v>1862</v>
      </c>
      <c r="E136" s="23" t="s">
        <v>1863</v>
      </c>
      <c r="F136" s="23" t="s">
        <v>1864</v>
      </c>
      <c r="G136" s="23" t="s">
        <v>1510</v>
      </c>
      <c r="H136" s="23" t="s">
        <v>1511</v>
      </c>
      <c r="I136" s="23" t="s">
        <v>1512</v>
      </c>
      <c r="J136" s="23" t="s">
        <v>1865</v>
      </c>
    </row>
    <row r="137" spans="1:10" ht="49.5" customHeight="1" x14ac:dyDescent="0.35">
      <c r="A137" s="25" t="s">
        <v>875</v>
      </c>
      <c r="B137" s="23">
        <v>2</v>
      </c>
      <c r="C137" s="25" t="s">
        <v>205</v>
      </c>
      <c r="D137" s="25" t="s">
        <v>1866</v>
      </c>
      <c r="E137" s="23" t="s">
        <v>1867</v>
      </c>
      <c r="F137" s="23" t="s">
        <v>1868</v>
      </c>
      <c r="G137" s="23" t="s">
        <v>1517</v>
      </c>
      <c r="H137" s="23" t="s">
        <v>1518</v>
      </c>
      <c r="I137" s="23" t="s">
        <v>1519</v>
      </c>
      <c r="J137" s="23" t="s">
        <v>1520</v>
      </c>
    </row>
    <row r="138" spans="1:10" ht="49.5" customHeight="1" x14ac:dyDescent="0.35">
      <c r="A138" s="26" t="s">
        <v>875</v>
      </c>
      <c r="B138" s="3">
        <v>3</v>
      </c>
      <c r="C138" s="26" t="s">
        <v>209</v>
      </c>
      <c r="D138" s="26" t="s">
        <v>1869</v>
      </c>
      <c r="E138" s="3" t="s">
        <v>1870</v>
      </c>
      <c r="F138" s="3" t="s">
        <v>1871</v>
      </c>
      <c r="G138" s="3" t="s">
        <v>1524</v>
      </c>
      <c r="H138" s="3" t="s">
        <v>1525</v>
      </c>
      <c r="I138" s="3" t="s">
        <v>1526</v>
      </c>
      <c r="J138" s="3" t="s">
        <v>1527</v>
      </c>
    </row>
    <row r="139" spans="1:10" ht="49.5" customHeight="1" x14ac:dyDescent="0.35">
      <c r="A139" s="27" t="s">
        <v>875</v>
      </c>
      <c r="B139" s="3">
        <v>4</v>
      </c>
      <c r="C139" s="27" t="s">
        <v>213</v>
      </c>
      <c r="D139" s="27" t="s">
        <v>1872</v>
      </c>
      <c r="E139" s="3" t="s">
        <v>1873</v>
      </c>
      <c r="F139" s="3" t="s">
        <v>1874</v>
      </c>
      <c r="G139" s="3" t="s">
        <v>1531</v>
      </c>
      <c r="H139" s="3" t="s">
        <v>1532</v>
      </c>
      <c r="I139" s="3" t="s">
        <v>1533</v>
      </c>
      <c r="J139" s="3" t="s">
        <v>1534</v>
      </c>
    </row>
    <row r="140" spans="1:10" ht="49.5" customHeight="1" x14ac:dyDescent="0.35">
      <c r="A140" s="28" t="s">
        <v>875</v>
      </c>
      <c r="B140" s="3">
        <v>5</v>
      </c>
      <c r="C140" s="28" t="s">
        <v>217</v>
      </c>
      <c r="D140" s="28" t="s">
        <v>1875</v>
      </c>
      <c r="E140" s="3" t="s">
        <v>1876</v>
      </c>
      <c r="F140" s="3" t="s">
        <v>1877</v>
      </c>
      <c r="G140" s="3" t="s">
        <v>1538</v>
      </c>
      <c r="H140" s="3" t="s">
        <v>1539</v>
      </c>
      <c r="I140" s="3" t="s">
        <v>1540</v>
      </c>
      <c r="J140" s="3" t="s">
        <v>1541</v>
      </c>
    </row>
    <row r="141" spans="1:10" ht="49.5" customHeight="1" x14ac:dyDescent="0.35">
      <c r="A141" s="22" t="s">
        <v>886</v>
      </c>
      <c r="B141" s="3">
        <v>0</v>
      </c>
      <c r="C141" s="22" t="s">
        <v>197</v>
      </c>
      <c r="D141" s="22" t="s">
        <v>1878</v>
      </c>
      <c r="E141" s="3" t="s">
        <v>1879</v>
      </c>
      <c r="F141" s="3" t="s">
        <v>1880</v>
      </c>
      <c r="G141" s="3" t="s">
        <v>1503</v>
      </c>
      <c r="H141" s="3" t="s">
        <v>1881</v>
      </c>
      <c r="I141" s="3" t="s">
        <v>1505</v>
      </c>
      <c r="J141" s="3" t="s">
        <v>1882</v>
      </c>
    </row>
    <row r="142" spans="1:10" ht="49.5" customHeight="1" x14ac:dyDescent="0.35">
      <c r="A142" s="24" t="s">
        <v>886</v>
      </c>
      <c r="B142" s="3">
        <v>1</v>
      </c>
      <c r="C142" s="24" t="s">
        <v>201</v>
      </c>
      <c r="D142" s="24" t="s">
        <v>1883</v>
      </c>
      <c r="E142" s="3" t="s">
        <v>1884</v>
      </c>
      <c r="F142" s="3" t="s">
        <v>1885</v>
      </c>
      <c r="G142" s="3" t="s">
        <v>1510</v>
      </c>
      <c r="H142" s="3" t="s">
        <v>1511</v>
      </c>
      <c r="I142" s="3" t="s">
        <v>1512</v>
      </c>
      <c r="J142" s="3" t="s">
        <v>1886</v>
      </c>
    </row>
    <row r="143" spans="1:10" ht="49.5" customHeight="1" x14ac:dyDescent="0.35">
      <c r="A143" s="25" t="s">
        <v>886</v>
      </c>
      <c r="B143" s="3">
        <v>2</v>
      </c>
      <c r="C143" s="25" t="s">
        <v>205</v>
      </c>
      <c r="D143" s="25" t="s">
        <v>1887</v>
      </c>
      <c r="E143" s="3" t="s">
        <v>1888</v>
      </c>
      <c r="F143" s="3" t="s">
        <v>1889</v>
      </c>
      <c r="G143" s="3" t="s">
        <v>1517</v>
      </c>
      <c r="H143" s="3" t="s">
        <v>1518</v>
      </c>
      <c r="I143" s="3" t="s">
        <v>1519</v>
      </c>
      <c r="J143" s="3" t="s">
        <v>1520</v>
      </c>
    </row>
    <row r="144" spans="1:10" ht="49.5" customHeight="1" x14ac:dyDescent="0.35">
      <c r="A144" s="26" t="s">
        <v>886</v>
      </c>
      <c r="B144" s="23">
        <v>3</v>
      </c>
      <c r="C144" s="26" t="s">
        <v>209</v>
      </c>
      <c r="D144" s="26" t="s">
        <v>1890</v>
      </c>
      <c r="E144" s="23" t="s">
        <v>1891</v>
      </c>
      <c r="F144" s="23" t="s">
        <v>1892</v>
      </c>
      <c r="G144" s="23" t="s">
        <v>1524</v>
      </c>
      <c r="H144" s="23" t="s">
        <v>1525</v>
      </c>
      <c r="I144" s="23" t="s">
        <v>1526</v>
      </c>
      <c r="J144" s="23" t="s">
        <v>1527</v>
      </c>
    </row>
    <row r="145" spans="1:10" ht="49.5" customHeight="1" x14ac:dyDescent="0.35">
      <c r="A145" s="27" t="s">
        <v>886</v>
      </c>
      <c r="B145" s="23">
        <v>4</v>
      </c>
      <c r="C145" s="27" t="s">
        <v>213</v>
      </c>
      <c r="D145" s="27" t="s">
        <v>1893</v>
      </c>
      <c r="E145" s="23" t="s">
        <v>1894</v>
      </c>
      <c r="F145" s="23" t="s">
        <v>1895</v>
      </c>
      <c r="G145" s="23" t="s">
        <v>1531</v>
      </c>
      <c r="H145" s="23" t="s">
        <v>1532</v>
      </c>
      <c r="I145" s="23" t="s">
        <v>1533</v>
      </c>
      <c r="J145" s="23" t="s">
        <v>1534</v>
      </c>
    </row>
    <row r="146" spans="1:10" ht="49.5" customHeight="1" x14ac:dyDescent="0.35">
      <c r="A146" s="28" t="s">
        <v>886</v>
      </c>
      <c r="B146" s="23">
        <v>5</v>
      </c>
      <c r="C146" s="28" t="s">
        <v>217</v>
      </c>
      <c r="D146" s="28" t="s">
        <v>1896</v>
      </c>
      <c r="E146" s="23" t="s">
        <v>1897</v>
      </c>
      <c r="F146" s="23" t="s">
        <v>1898</v>
      </c>
      <c r="G146" s="23" t="s">
        <v>1538</v>
      </c>
      <c r="H146" s="23" t="s">
        <v>1539</v>
      </c>
      <c r="I146" s="23" t="s">
        <v>1540</v>
      </c>
      <c r="J146" s="23" t="s">
        <v>1541</v>
      </c>
    </row>
    <row r="147" spans="1:10" ht="49.5" customHeight="1" x14ac:dyDescent="0.35">
      <c r="A147" s="22" t="s">
        <v>897</v>
      </c>
      <c r="B147" s="23">
        <v>0</v>
      </c>
      <c r="C147" s="22" t="s">
        <v>197</v>
      </c>
      <c r="D147" s="22" t="s">
        <v>1899</v>
      </c>
      <c r="E147" s="23" t="s">
        <v>1900</v>
      </c>
      <c r="F147" s="23" t="s">
        <v>1901</v>
      </c>
      <c r="G147" s="23" t="s">
        <v>1503</v>
      </c>
      <c r="H147" s="23" t="s">
        <v>1902</v>
      </c>
      <c r="I147" s="23" t="s">
        <v>1505</v>
      </c>
      <c r="J147" s="23" t="s">
        <v>1903</v>
      </c>
    </row>
    <row r="148" spans="1:10" ht="49.5" customHeight="1" x14ac:dyDescent="0.35">
      <c r="A148" s="24" t="s">
        <v>897</v>
      </c>
      <c r="B148" s="23">
        <v>1</v>
      </c>
      <c r="C148" s="24" t="s">
        <v>201</v>
      </c>
      <c r="D148" s="24" t="s">
        <v>1904</v>
      </c>
      <c r="E148" s="23" t="s">
        <v>1905</v>
      </c>
      <c r="F148" s="23" t="s">
        <v>1906</v>
      </c>
      <c r="G148" s="23" t="s">
        <v>1510</v>
      </c>
      <c r="H148" s="23" t="s">
        <v>1511</v>
      </c>
      <c r="I148" s="23" t="s">
        <v>1512</v>
      </c>
      <c r="J148" s="23" t="s">
        <v>1907</v>
      </c>
    </row>
    <row r="149" spans="1:10" ht="49.5" customHeight="1" x14ac:dyDescent="0.35">
      <c r="A149" s="25" t="s">
        <v>897</v>
      </c>
      <c r="B149" s="23">
        <v>2</v>
      </c>
      <c r="C149" s="25" t="s">
        <v>205</v>
      </c>
      <c r="D149" s="25" t="s">
        <v>1908</v>
      </c>
      <c r="E149" s="23" t="s">
        <v>1909</v>
      </c>
      <c r="F149" s="23" t="s">
        <v>1910</v>
      </c>
      <c r="G149" s="23" t="s">
        <v>1517</v>
      </c>
      <c r="H149" s="23" t="s">
        <v>1518</v>
      </c>
      <c r="I149" s="23" t="s">
        <v>1519</v>
      </c>
      <c r="J149" s="23" t="s">
        <v>1520</v>
      </c>
    </row>
    <row r="150" spans="1:10" ht="49.5" customHeight="1" x14ac:dyDescent="0.35">
      <c r="A150" s="26" t="s">
        <v>897</v>
      </c>
      <c r="B150" s="3">
        <v>3</v>
      </c>
      <c r="C150" s="26" t="s">
        <v>209</v>
      </c>
      <c r="D150" s="26" t="s">
        <v>1911</v>
      </c>
      <c r="E150" s="3" t="s">
        <v>1912</v>
      </c>
      <c r="F150" s="3" t="s">
        <v>1913</v>
      </c>
      <c r="G150" s="3" t="s">
        <v>1524</v>
      </c>
      <c r="H150" s="3" t="s">
        <v>1525</v>
      </c>
      <c r="I150" s="3" t="s">
        <v>1526</v>
      </c>
      <c r="J150" s="3" t="s">
        <v>1527</v>
      </c>
    </row>
    <row r="151" spans="1:10" ht="49.5" customHeight="1" x14ac:dyDescent="0.35">
      <c r="A151" s="27" t="s">
        <v>897</v>
      </c>
      <c r="B151" s="3">
        <v>4</v>
      </c>
      <c r="C151" s="27" t="s">
        <v>213</v>
      </c>
      <c r="D151" s="27" t="s">
        <v>1914</v>
      </c>
      <c r="E151" s="3" t="s">
        <v>1915</v>
      </c>
      <c r="F151" s="3" t="s">
        <v>1916</v>
      </c>
      <c r="G151" s="3" t="s">
        <v>1531</v>
      </c>
      <c r="H151" s="3" t="s">
        <v>1532</v>
      </c>
      <c r="I151" s="3" t="s">
        <v>1533</v>
      </c>
      <c r="J151" s="3" t="s">
        <v>1534</v>
      </c>
    </row>
    <row r="152" spans="1:10" ht="49.5" customHeight="1" x14ac:dyDescent="0.35">
      <c r="A152" s="28" t="s">
        <v>897</v>
      </c>
      <c r="B152" s="3">
        <v>5</v>
      </c>
      <c r="C152" s="28" t="s">
        <v>217</v>
      </c>
      <c r="D152" s="28" t="s">
        <v>1917</v>
      </c>
      <c r="E152" s="3" t="s">
        <v>1918</v>
      </c>
      <c r="F152" s="3" t="s">
        <v>1919</v>
      </c>
      <c r="G152" s="3" t="s">
        <v>1538</v>
      </c>
      <c r="H152" s="3" t="s">
        <v>1539</v>
      </c>
      <c r="I152" s="3" t="s">
        <v>1540</v>
      </c>
      <c r="J152" s="3" t="s">
        <v>1541</v>
      </c>
    </row>
    <row r="153" spans="1:10" ht="49.5" customHeight="1" x14ac:dyDescent="0.35">
      <c r="A153" s="22" t="s">
        <v>908</v>
      </c>
      <c r="B153" s="3">
        <v>0</v>
      </c>
      <c r="C153" s="22" t="s">
        <v>197</v>
      </c>
      <c r="D153" s="22" t="s">
        <v>1920</v>
      </c>
      <c r="E153" s="3" t="s">
        <v>1921</v>
      </c>
      <c r="F153" s="3" t="s">
        <v>1922</v>
      </c>
      <c r="G153" s="3" t="s">
        <v>1503</v>
      </c>
      <c r="H153" s="3" t="s">
        <v>1923</v>
      </c>
      <c r="I153" s="3" t="s">
        <v>1505</v>
      </c>
      <c r="J153" s="3" t="s">
        <v>1924</v>
      </c>
    </row>
    <row r="154" spans="1:10" ht="49.5" customHeight="1" x14ac:dyDescent="0.35">
      <c r="A154" s="24" t="s">
        <v>908</v>
      </c>
      <c r="B154" s="3">
        <v>1</v>
      </c>
      <c r="C154" s="24" t="s">
        <v>201</v>
      </c>
      <c r="D154" s="24" t="s">
        <v>1925</v>
      </c>
      <c r="E154" s="3" t="s">
        <v>1926</v>
      </c>
      <c r="F154" s="3" t="s">
        <v>1927</v>
      </c>
      <c r="G154" s="3" t="s">
        <v>1510</v>
      </c>
      <c r="H154" s="3" t="s">
        <v>1511</v>
      </c>
      <c r="I154" s="3" t="s">
        <v>1512</v>
      </c>
      <c r="J154" s="3" t="s">
        <v>1928</v>
      </c>
    </row>
    <row r="155" spans="1:10" ht="49.5" customHeight="1" x14ac:dyDescent="0.35">
      <c r="A155" s="25" t="s">
        <v>908</v>
      </c>
      <c r="B155" s="3">
        <v>2</v>
      </c>
      <c r="C155" s="25" t="s">
        <v>205</v>
      </c>
      <c r="D155" s="25" t="s">
        <v>1929</v>
      </c>
      <c r="E155" s="3" t="s">
        <v>1930</v>
      </c>
      <c r="F155" s="3" t="s">
        <v>1931</v>
      </c>
      <c r="G155" s="3" t="s">
        <v>1517</v>
      </c>
      <c r="H155" s="3" t="s">
        <v>1518</v>
      </c>
      <c r="I155" s="3" t="s">
        <v>1519</v>
      </c>
      <c r="J155" s="3" t="s">
        <v>1520</v>
      </c>
    </row>
    <row r="156" spans="1:10" ht="49.5" customHeight="1" x14ac:dyDescent="0.35">
      <c r="A156" s="26" t="s">
        <v>908</v>
      </c>
      <c r="B156" s="23">
        <v>3</v>
      </c>
      <c r="C156" s="26" t="s">
        <v>209</v>
      </c>
      <c r="D156" s="26" t="s">
        <v>1932</v>
      </c>
      <c r="E156" s="23" t="s">
        <v>1933</v>
      </c>
      <c r="F156" s="23" t="s">
        <v>1934</v>
      </c>
      <c r="G156" s="23" t="s">
        <v>1524</v>
      </c>
      <c r="H156" s="23" t="s">
        <v>1525</v>
      </c>
      <c r="I156" s="23" t="s">
        <v>1526</v>
      </c>
      <c r="J156" s="23" t="s">
        <v>1527</v>
      </c>
    </row>
    <row r="157" spans="1:10" ht="49.5" customHeight="1" x14ac:dyDescent="0.35">
      <c r="A157" s="27" t="s">
        <v>908</v>
      </c>
      <c r="B157" s="23">
        <v>4</v>
      </c>
      <c r="C157" s="27" t="s">
        <v>213</v>
      </c>
      <c r="D157" s="27" t="s">
        <v>1935</v>
      </c>
      <c r="E157" s="23" t="s">
        <v>1936</v>
      </c>
      <c r="F157" s="23" t="s">
        <v>1937</v>
      </c>
      <c r="G157" s="23" t="s">
        <v>1531</v>
      </c>
      <c r="H157" s="23" t="s">
        <v>1532</v>
      </c>
      <c r="I157" s="23" t="s">
        <v>1533</v>
      </c>
      <c r="J157" s="23" t="s">
        <v>1534</v>
      </c>
    </row>
    <row r="158" spans="1:10" ht="49.5" customHeight="1" x14ac:dyDescent="0.35">
      <c r="A158" s="28" t="s">
        <v>908</v>
      </c>
      <c r="B158" s="23">
        <v>5</v>
      </c>
      <c r="C158" s="28" t="s">
        <v>217</v>
      </c>
      <c r="D158" s="28" t="s">
        <v>1938</v>
      </c>
      <c r="E158" s="23" t="s">
        <v>1939</v>
      </c>
      <c r="F158" s="23" t="s">
        <v>1940</v>
      </c>
      <c r="G158" s="23" t="s">
        <v>1538</v>
      </c>
      <c r="H158" s="23" t="s">
        <v>1539</v>
      </c>
      <c r="I158" s="23" t="s">
        <v>1540</v>
      </c>
      <c r="J158" s="23" t="s">
        <v>1541</v>
      </c>
    </row>
    <row r="159" spans="1:10" ht="49.5" customHeight="1" x14ac:dyDescent="0.35">
      <c r="A159" s="22" t="s">
        <v>916</v>
      </c>
      <c r="B159" s="23">
        <v>0</v>
      </c>
      <c r="C159" s="22" t="s">
        <v>197</v>
      </c>
      <c r="D159" s="22" t="s">
        <v>1941</v>
      </c>
      <c r="E159" s="23" t="s">
        <v>1942</v>
      </c>
      <c r="F159" s="23" t="s">
        <v>1943</v>
      </c>
      <c r="G159" s="23" t="s">
        <v>1503</v>
      </c>
      <c r="H159" s="23" t="s">
        <v>1944</v>
      </c>
      <c r="I159" s="23" t="s">
        <v>1505</v>
      </c>
      <c r="J159" s="23" t="s">
        <v>1945</v>
      </c>
    </row>
    <row r="160" spans="1:10" ht="49.5" customHeight="1" x14ac:dyDescent="0.35">
      <c r="A160" s="24" t="s">
        <v>916</v>
      </c>
      <c r="B160" s="23">
        <v>1</v>
      </c>
      <c r="C160" s="24" t="s">
        <v>201</v>
      </c>
      <c r="D160" s="24" t="s">
        <v>1946</v>
      </c>
      <c r="E160" s="23" t="s">
        <v>1947</v>
      </c>
      <c r="F160" s="23" t="s">
        <v>1948</v>
      </c>
      <c r="G160" s="23" t="s">
        <v>1510</v>
      </c>
      <c r="H160" s="23" t="s">
        <v>1511</v>
      </c>
      <c r="I160" s="23" t="s">
        <v>1512</v>
      </c>
      <c r="J160" s="23" t="s">
        <v>1949</v>
      </c>
    </row>
    <row r="161" spans="1:10" ht="49.5" customHeight="1" x14ac:dyDescent="0.35">
      <c r="A161" s="25" t="s">
        <v>916</v>
      </c>
      <c r="B161" s="23">
        <v>2</v>
      </c>
      <c r="C161" s="25" t="s">
        <v>205</v>
      </c>
      <c r="D161" s="25" t="s">
        <v>1950</v>
      </c>
      <c r="E161" s="23" t="s">
        <v>1951</v>
      </c>
      <c r="F161" s="23" t="s">
        <v>1952</v>
      </c>
      <c r="G161" s="23" t="s">
        <v>1517</v>
      </c>
      <c r="H161" s="23" t="s">
        <v>1518</v>
      </c>
      <c r="I161" s="23" t="s">
        <v>1519</v>
      </c>
      <c r="J161" s="23" t="s">
        <v>1520</v>
      </c>
    </row>
    <row r="162" spans="1:10" ht="49.5" customHeight="1" x14ac:dyDescent="0.35">
      <c r="A162" s="26" t="s">
        <v>916</v>
      </c>
      <c r="B162" s="3">
        <v>3</v>
      </c>
      <c r="C162" s="26" t="s">
        <v>209</v>
      </c>
      <c r="D162" s="26" t="s">
        <v>1953</v>
      </c>
      <c r="E162" s="3" t="s">
        <v>1954</v>
      </c>
      <c r="F162" s="3" t="s">
        <v>1955</v>
      </c>
      <c r="G162" s="3" t="s">
        <v>1524</v>
      </c>
      <c r="H162" s="3" t="s">
        <v>1525</v>
      </c>
      <c r="I162" s="3" t="s">
        <v>1526</v>
      </c>
      <c r="J162" s="3" t="s">
        <v>1527</v>
      </c>
    </row>
    <row r="163" spans="1:10" ht="49.5" customHeight="1" x14ac:dyDescent="0.35">
      <c r="A163" s="27" t="s">
        <v>916</v>
      </c>
      <c r="B163" s="3">
        <v>4</v>
      </c>
      <c r="C163" s="27" t="s">
        <v>213</v>
      </c>
      <c r="D163" s="27" t="s">
        <v>1956</v>
      </c>
      <c r="E163" s="3" t="s">
        <v>1957</v>
      </c>
      <c r="F163" s="3" t="s">
        <v>1958</v>
      </c>
      <c r="G163" s="3" t="s">
        <v>1531</v>
      </c>
      <c r="H163" s="3" t="s">
        <v>1532</v>
      </c>
      <c r="I163" s="3" t="s">
        <v>1533</v>
      </c>
      <c r="J163" s="3" t="s">
        <v>1534</v>
      </c>
    </row>
    <row r="164" spans="1:10" ht="49.5" customHeight="1" x14ac:dyDescent="0.35">
      <c r="A164" s="28" t="s">
        <v>916</v>
      </c>
      <c r="B164" s="3">
        <v>5</v>
      </c>
      <c r="C164" s="28" t="s">
        <v>217</v>
      </c>
      <c r="D164" s="28" t="s">
        <v>1959</v>
      </c>
      <c r="E164" s="3" t="s">
        <v>1960</v>
      </c>
      <c r="F164" s="3" t="s">
        <v>1961</v>
      </c>
      <c r="G164" s="3" t="s">
        <v>1538</v>
      </c>
      <c r="H164" s="3" t="s">
        <v>1539</v>
      </c>
      <c r="I164" s="3" t="s">
        <v>1540</v>
      </c>
      <c r="J164" s="3" t="s">
        <v>1541</v>
      </c>
    </row>
    <row r="165" spans="1:10" ht="49.5" customHeight="1" x14ac:dyDescent="0.35">
      <c r="A165" s="22" t="s">
        <v>926</v>
      </c>
      <c r="B165" s="3">
        <v>0</v>
      </c>
      <c r="C165" s="22" t="s">
        <v>197</v>
      </c>
      <c r="D165" s="22" t="s">
        <v>1962</v>
      </c>
      <c r="E165" s="3" t="s">
        <v>1963</v>
      </c>
      <c r="F165" s="3" t="s">
        <v>1964</v>
      </c>
      <c r="G165" s="3" t="s">
        <v>1503</v>
      </c>
      <c r="H165" s="3" t="s">
        <v>1965</v>
      </c>
      <c r="I165" s="3" t="s">
        <v>1505</v>
      </c>
      <c r="J165" s="3" t="s">
        <v>1966</v>
      </c>
    </row>
    <row r="166" spans="1:10" ht="49.5" customHeight="1" x14ac:dyDescent="0.35">
      <c r="A166" s="24" t="s">
        <v>926</v>
      </c>
      <c r="B166" s="3">
        <v>1</v>
      </c>
      <c r="C166" s="24" t="s">
        <v>201</v>
      </c>
      <c r="D166" s="24" t="s">
        <v>1967</v>
      </c>
      <c r="E166" s="3" t="s">
        <v>1968</v>
      </c>
      <c r="F166" s="3" t="s">
        <v>1969</v>
      </c>
      <c r="G166" s="3" t="s">
        <v>1510</v>
      </c>
      <c r="H166" s="3" t="s">
        <v>1511</v>
      </c>
      <c r="I166" s="3" t="s">
        <v>1512</v>
      </c>
      <c r="J166" s="3" t="s">
        <v>1970</v>
      </c>
    </row>
    <row r="167" spans="1:10" ht="49.5" customHeight="1" x14ac:dyDescent="0.35">
      <c r="A167" s="25" t="s">
        <v>926</v>
      </c>
      <c r="B167" s="3">
        <v>2</v>
      </c>
      <c r="C167" s="25" t="s">
        <v>205</v>
      </c>
      <c r="D167" s="25" t="s">
        <v>1971</v>
      </c>
      <c r="E167" s="3" t="s">
        <v>1972</v>
      </c>
      <c r="F167" s="3" t="s">
        <v>1973</v>
      </c>
      <c r="G167" s="3" t="s">
        <v>1517</v>
      </c>
      <c r="H167" s="3" t="s">
        <v>1518</v>
      </c>
      <c r="I167" s="3" t="s">
        <v>1519</v>
      </c>
      <c r="J167" s="3" t="s">
        <v>1520</v>
      </c>
    </row>
    <row r="168" spans="1:10" ht="49.5" customHeight="1" x14ac:dyDescent="0.35">
      <c r="A168" s="26" t="s">
        <v>926</v>
      </c>
      <c r="B168" s="23">
        <v>3</v>
      </c>
      <c r="C168" s="26" t="s">
        <v>209</v>
      </c>
      <c r="D168" s="26" t="s">
        <v>1974</v>
      </c>
      <c r="E168" s="23" t="s">
        <v>1975</v>
      </c>
      <c r="F168" s="23" t="s">
        <v>1976</v>
      </c>
      <c r="G168" s="23" t="s">
        <v>1524</v>
      </c>
      <c r="H168" s="23" t="s">
        <v>1525</v>
      </c>
      <c r="I168" s="23" t="s">
        <v>1526</v>
      </c>
      <c r="J168" s="23" t="s">
        <v>1527</v>
      </c>
    </row>
    <row r="169" spans="1:10" ht="49.5" customHeight="1" x14ac:dyDescent="0.35">
      <c r="A169" s="27" t="s">
        <v>926</v>
      </c>
      <c r="B169" s="23">
        <v>4</v>
      </c>
      <c r="C169" s="27" t="s">
        <v>213</v>
      </c>
      <c r="D169" s="27" t="s">
        <v>1977</v>
      </c>
      <c r="E169" s="23" t="s">
        <v>1978</v>
      </c>
      <c r="F169" s="23" t="s">
        <v>1979</v>
      </c>
      <c r="G169" s="23" t="s">
        <v>1531</v>
      </c>
      <c r="H169" s="23" t="s">
        <v>1532</v>
      </c>
      <c r="I169" s="23" t="s">
        <v>1533</v>
      </c>
      <c r="J169" s="23" t="s">
        <v>1534</v>
      </c>
    </row>
    <row r="170" spans="1:10" ht="49.5" customHeight="1" x14ac:dyDescent="0.35">
      <c r="A170" s="28" t="s">
        <v>926</v>
      </c>
      <c r="B170" s="23">
        <v>5</v>
      </c>
      <c r="C170" s="28" t="s">
        <v>217</v>
      </c>
      <c r="D170" s="28" t="s">
        <v>1980</v>
      </c>
      <c r="E170" s="23" t="s">
        <v>1981</v>
      </c>
      <c r="F170" s="23" t="s">
        <v>1982</v>
      </c>
      <c r="G170" s="23" t="s">
        <v>1538</v>
      </c>
      <c r="H170" s="23" t="s">
        <v>1539</v>
      </c>
      <c r="I170" s="23" t="s">
        <v>1540</v>
      </c>
      <c r="J170" s="23" t="s">
        <v>1541</v>
      </c>
    </row>
    <row r="171" spans="1:10" ht="49.5" customHeight="1" x14ac:dyDescent="0.35">
      <c r="A171" s="22" t="s">
        <v>936</v>
      </c>
      <c r="B171" s="23">
        <v>0</v>
      </c>
      <c r="C171" s="22" t="s">
        <v>197</v>
      </c>
      <c r="D171" s="22" t="s">
        <v>1983</v>
      </c>
      <c r="E171" s="23" t="s">
        <v>1984</v>
      </c>
      <c r="F171" s="23" t="s">
        <v>1985</v>
      </c>
      <c r="G171" s="23" t="s">
        <v>1503</v>
      </c>
      <c r="H171" s="23" t="s">
        <v>1986</v>
      </c>
      <c r="I171" s="23" t="s">
        <v>1505</v>
      </c>
      <c r="J171" s="23" t="s">
        <v>1987</v>
      </c>
    </row>
    <row r="172" spans="1:10" ht="49.5" customHeight="1" x14ac:dyDescent="0.35">
      <c r="A172" s="24" t="s">
        <v>936</v>
      </c>
      <c r="B172" s="23">
        <v>1</v>
      </c>
      <c r="C172" s="24" t="s">
        <v>201</v>
      </c>
      <c r="D172" s="24" t="s">
        <v>1988</v>
      </c>
      <c r="E172" s="23" t="s">
        <v>1989</v>
      </c>
      <c r="F172" s="23" t="s">
        <v>1990</v>
      </c>
      <c r="G172" s="23" t="s">
        <v>1510</v>
      </c>
      <c r="H172" s="23" t="s">
        <v>1511</v>
      </c>
      <c r="I172" s="23" t="s">
        <v>1512</v>
      </c>
      <c r="J172" s="23" t="s">
        <v>1991</v>
      </c>
    </row>
    <row r="173" spans="1:10" ht="49.5" customHeight="1" x14ac:dyDescent="0.35">
      <c r="A173" s="25" t="s">
        <v>936</v>
      </c>
      <c r="B173" s="23">
        <v>2</v>
      </c>
      <c r="C173" s="25" t="s">
        <v>205</v>
      </c>
      <c r="D173" s="25" t="s">
        <v>1992</v>
      </c>
      <c r="E173" s="23" t="s">
        <v>1993</v>
      </c>
      <c r="F173" s="23" t="s">
        <v>1994</v>
      </c>
      <c r="G173" s="23" t="s">
        <v>1517</v>
      </c>
      <c r="H173" s="23" t="s">
        <v>1518</v>
      </c>
      <c r="I173" s="23" t="s">
        <v>1519</v>
      </c>
      <c r="J173" s="23" t="s">
        <v>1520</v>
      </c>
    </row>
    <row r="174" spans="1:10" ht="49.5" customHeight="1" x14ac:dyDescent="0.35">
      <c r="A174" s="26" t="s">
        <v>936</v>
      </c>
      <c r="B174" s="3">
        <v>3</v>
      </c>
      <c r="C174" s="26" t="s">
        <v>209</v>
      </c>
      <c r="D174" s="26" t="s">
        <v>1995</v>
      </c>
      <c r="E174" s="3" t="s">
        <v>1996</v>
      </c>
      <c r="F174" s="3" t="s">
        <v>1997</v>
      </c>
      <c r="G174" s="3" t="s">
        <v>1524</v>
      </c>
      <c r="H174" s="3" t="s">
        <v>1525</v>
      </c>
      <c r="I174" s="3" t="s">
        <v>1526</v>
      </c>
      <c r="J174" s="3" t="s">
        <v>1527</v>
      </c>
    </row>
    <row r="175" spans="1:10" ht="49.5" customHeight="1" x14ac:dyDescent="0.35">
      <c r="A175" s="27" t="s">
        <v>936</v>
      </c>
      <c r="B175" s="3">
        <v>4</v>
      </c>
      <c r="C175" s="27" t="s">
        <v>213</v>
      </c>
      <c r="D175" s="27" t="s">
        <v>1998</v>
      </c>
      <c r="E175" s="3" t="s">
        <v>1999</v>
      </c>
      <c r="F175" s="3" t="s">
        <v>2000</v>
      </c>
      <c r="G175" s="3" t="s">
        <v>1531</v>
      </c>
      <c r="H175" s="3" t="s">
        <v>1532</v>
      </c>
      <c r="I175" s="3" t="s">
        <v>1533</v>
      </c>
      <c r="J175" s="3" t="s">
        <v>1534</v>
      </c>
    </row>
    <row r="176" spans="1:10" ht="49.5" customHeight="1" x14ac:dyDescent="0.35">
      <c r="A176" s="28" t="s">
        <v>936</v>
      </c>
      <c r="B176" s="3">
        <v>5</v>
      </c>
      <c r="C176" s="28" t="s">
        <v>217</v>
      </c>
      <c r="D176" s="28" t="s">
        <v>2001</v>
      </c>
      <c r="E176" s="3" t="s">
        <v>2002</v>
      </c>
      <c r="F176" s="3" t="s">
        <v>2003</v>
      </c>
      <c r="G176" s="3" t="s">
        <v>1538</v>
      </c>
      <c r="H176" s="3" t="s">
        <v>1539</v>
      </c>
      <c r="I176" s="3" t="s">
        <v>1540</v>
      </c>
      <c r="J176" s="3" t="s">
        <v>1541</v>
      </c>
    </row>
    <row r="177" spans="1:10" ht="49.5" customHeight="1" x14ac:dyDescent="0.35">
      <c r="A177" s="22" t="s">
        <v>947</v>
      </c>
      <c r="B177" s="3">
        <v>0</v>
      </c>
      <c r="C177" s="22" t="s">
        <v>197</v>
      </c>
      <c r="D177" s="22" t="s">
        <v>2004</v>
      </c>
      <c r="E177" s="3" t="s">
        <v>2005</v>
      </c>
      <c r="F177" s="3" t="s">
        <v>2006</v>
      </c>
      <c r="G177" s="3" t="s">
        <v>1503</v>
      </c>
      <c r="H177" s="3" t="s">
        <v>2007</v>
      </c>
      <c r="I177" s="3" t="s">
        <v>1505</v>
      </c>
      <c r="J177" s="3" t="s">
        <v>2008</v>
      </c>
    </row>
    <row r="178" spans="1:10" ht="49.5" customHeight="1" x14ac:dyDescent="0.35">
      <c r="A178" s="24" t="s">
        <v>947</v>
      </c>
      <c r="B178" s="3">
        <v>1</v>
      </c>
      <c r="C178" s="24" t="s">
        <v>201</v>
      </c>
      <c r="D178" s="24" t="s">
        <v>2009</v>
      </c>
      <c r="E178" s="3" t="s">
        <v>2010</v>
      </c>
      <c r="F178" s="3" t="s">
        <v>2011</v>
      </c>
      <c r="G178" s="3" t="s">
        <v>1510</v>
      </c>
      <c r="H178" s="3" t="s">
        <v>1511</v>
      </c>
      <c r="I178" s="3" t="s">
        <v>1512</v>
      </c>
      <c r="J178" s="3" t="s">
        <v>2012</v>
      </c>
    </row>
    <row r="179" spans="1:10" ht="49.5" customHeight="1" x14ac:dyDescent="0.35">
      <c r="A179" s="25" t="s">
        <v>947</v>
      </c>
      <c r="B179" s="3">
        <v>2</v>
      </c>
      <c r="C179" s="25" t="s">
        <v>205</v>
      </c>
      <c r="D179" s="25" t="s">
        <v>2013</v>
      </c>
      <c r="E179" s="3" t="s">
        <v>2014</v>
      </c>
      <c r="F179" s="3" t="s">
        <v>2015</v>
      </c>
      <c r="G179" s="3" t="s">
        <v>1517</v>
      </c>
      <c r="H179" s="3" t="s">
        <v>1518</v>
      </c>
      <c r="I179" s="3" t="s">
        <v>1519</v>
      </c>
      <c r="J179" s="3" t="s">
        <v>1520</v>
      </c>
    </row>
    <row r="180" spans="1:10" ht="49.5" customHeight="1" x14ac:dyDescent="0.35">
      <c r="A180" s="26" t="s">
        <v>947</v>
      </c>
      <c r="B180" s="23">
        <v>3</v>
      </c>
      <c r="C180" s="26" t="s">
        <v>209</v>
      </c>
      <c r="D180" s="26" t="s">
        <v>2016</v>
      </c>
      <c r="E180" s="23" t="s">
        <v>2017</v>
      </c>
      <c r="F180" s="23" t="s">
        <v>2018</v>
      </c>
      <c r="G180" s="23" t="s">
        <v>1524</v>
      </c>
      <c r="H180" s="23" t="s">
        <v>1525</v>
      </c>
      <c r="I180" s="23" t="s">
        <v>1526</v>
      </c>
      <c r="J180" s="23" t="s">
        <v>1527</v>
      </c>
    </row>
    <row r="181" spans="1:10" ht="49.5" customHeight="1" x14ac:dyDescent="0.35">
      <c r="A181" s="27" t="s">
        <v>947</v>
      </c>
      <c r="B181" s="23">
        <v>4</v>
      </c>
      <c r="C181" s="27" t="s">
        <v>213</v>
      </c>
      <c r="D181" s="27" t="s">
        <v>2019</v>
      </c>
      <c r="E181" s="23" t="s">
        <v>2020</v>
      </c>
      <c r="F181" s="23" t="s">
        <v>2021</v>
      </c>
      <c r="G181" s="23" t="s">
        <v>1531</v>
      </c>
      <c r="H181" s="23" t="s">
        <v>1532</v>
      </c>
      <c r="I181" s="23" t="s">
        <v>1533</v>
      </c>
      <c r="J181" s="23" t="s">
        <v>1534</v>
      </c>
    </row>
    <row r="182" spans="1:10" ht="49.5" customHeight="1" x14ac:dyDescent="0.35">
      <c r="A182" s="28" t="s">
        <v>947</v>
      </c>
      <c r="B182" s="23">
        <v>5</v>
      </c>
      <c r="C182" s="28" t="s">
        <v>217</v>
      </c>
      <c r="D182" s="28" t="s">
        <v>2022</v>
      </c>
      <c r="E182" s="23" t="s">
        <v>2023</v>
      </c>
      <c r="F182" s="23" t="s">
        <v>2024</v>
      </c>
      <c r="G182" s="23" t="s">
        <v>1538</v>
      </c>
      <c r="H182" s="23" t="s">
        <v>1539</v>
      </c>
      <c r="I182" s="23" t="s">
        <v>1540</v>
      </c>
      <c r="J182" s="23" t="s">
        <v>1541</v>
      </c>
    </row>
    <row r="183" spans="1:10" ht="49.5" customHeight="1" x14ac:dyDescent="0.35">
      <c r="A183" s="22" t="s">
        <v>956</v>
      </c>
      <c r="B183" s="23">
        <v>0</v>
      </c>
      <c r="C183" s="22" t="s">
        <v>197</v>
      </c>
      <c r="D183" s="22" t="s">
        <v>2025</v>
      </c>
      <c r="E183" s="23" t="s">
        <v>2026</v>
      </c>
      <c r="F183" s="23" t="s">
        <v>2027</v>
      </c>
      <c r="G183" s="23" t="s">
        <v>1503</v>
      </c>
      <c r="H183" s="23" t="s">
        <v>2028</v>
      </c>
      <c r="I183" s="23" t="s">
        <v>1505</v>
      </c>
      <c r="J183" s="23" t="s">
        <v>2029</v>
      </c>
    </row>
    <row r="184" spans="1:10" ht="49.5" customHeight="1" x14ac:dyDescent="0.35">
      <c r="A184" s="24" t="s">
        <v>956</v>
      </c>
      <c r="B184" s="23">
        <v>1</v>
      </c>
      <c r="C184" s="24" t="s">
        <v>201</v>
      </c>
      <c r="D184" s="24" t="s">
        <v>2030</v>
      </c>
      <c r="E184" s="23" t="s">
        <v>2031</v>
      </c>
      <c r="F184" s="23" t="s">
        <v>2032</v>
      </c>
      <c r="G184" s="23" t="s">
        <v>1510</v>
      </c>
      <c r="H184" s="23" t="s">
        <v>1511</v>
      </c>
      <c r="I184" s="23" t="s">
        <v>1512</v>
      </c>
      <c r="J184" s="23" t="s">
        <v>2033</v>
      </c>
    </row>
    <row r="185" spans="1:10" ht="49.5" customHeight="1" x14ac:dyDescent="0.35">
      <c r="A185" s="25" t="s">
        <v>956</v>
      </c>
      <c r="B185" s="23">
        <v>2</v>
      </c>
      <c r="C185" s="25" t="s">
        <v>205</v>
      </c>
      <c r="D185" s="25" t="s">
        <v>2034</v>
      </c>
      <c r="E185" s="23" t="s">
        <v>2035</v>
      </c>
      <c r="F185" s="23" t="s">
        <v>2036</v>
      </c>
      <c r="G185" s="23" t="s">
        <v>1517</v>
      </c>
      <c r="H185" s="23" t="s">
        <v>1518</v>
      </c>
      <c r="I185" s="23" t="s">
        <v>1519</v>
      </c>
      <c r="J185" s="23" t="s">
        <v>1520</v>
      </c>
    </row>
    <row r="186" spans="1:10" ht="49.5" customHeight="1" x14ac:dyDescent="0.35">
      <c r="A186" s="26" t="s">
        <v>956</v>
      </c>
      <c r="B186" s="3">
        <v>3</v>
      </c>
      <c r="C186" s="26" t="s">
        <v>209</v>
      </c>
      <c r="D186" s="26" t="s">
        <v>2037</v>
      </c>
      <c r="E186" s="3" t="s">
        <v>2038</v>
      </c>
      <c r="F186" s="3" t="s">
        <v>2039</v>
      </c>
      <c r="G186" s="3" t="s">
        <v>1524</v>
      </c>
      <c r="H186" s="3" t="s">
        <v>1525</v>
      </c>
      <c r="I186" s="3" t="s">
        <v>1526</v>
      </c>
      <c r="J186" s="3" t="s">
        <v>1527</v>
      </c>
    </row>
    <row r="187" spans="1:10" ht="49.5" customHeight="1" x14ac:dyDescent="0.35">
      <c r="A187" s="27" t="s">
        <v>956</v>
      </c>
      <c r="B187" s="3">
        <v>4</v>
      </c>
      <c r="C187" s="27" t="s">
        <v>213</v>
      </c>
      <c r="D187" s="27" t="s">
        <v>2040</v>
      </c>
      <c r="E187" s="3" t="s">
        <v>2041</v>
      </c>
      <c r="F187" s="3" t="s">
        <v>2042</v>
      </c>
      <c r="G187" s="3" t="s">
        <v>1531</v>
      </c>
      <c r="H187" s="3" t="s">
        <v>1532</v>
      </c>
      <c r="I187" s="3" t="s">
        <v>1533</v>
      </c>
      <c r="J187" s="3" t="s">
        <v>1534</v>
      </c>
    </row>
    <row r="188" spans="1:10" ht="49.5" customHeight="1" x14ac:dyDescent="0.35">
      <c r="A188" s="28" t="s">
        <v>956</v>
      </c>
      <c r="B188" s="3">
        <v>5</v>
      </c>
      <c r="C188" s="28" t="s">
        <v>217</v>
      </c>
      <c r="D188" s="28" t="s">
        <v>2043</v>
      </c>
      <c r="E188" s="3" t="s">
        <v>2044</v>
      </c>
      <c r="F188" s="3" t="s">
        <v>2045</v>
      </c>
      <c r="G188" s="3" t="s">
        <v>1538</v>
      </c>
      <c r="H188" s="3" t="s">
        <v>1539</v>
      </c>
      <c r="I188" s="3" t="s">
        <v>1540</v>
      </c>
      <c r="J188" s="3" t="s">
        <v>1541</v>
      </c>
    </row>
    <row r="189" spans="1:10" ht="49.5" customHeight="1" x14ac:dyDescent="0.35">
      <c r="A189" s="22" t="s">
        <v>965</v>
      </c>
      <c r="B189" s="3">
        <v>0</v>
      </c>
      <c r="C189" s="22" t="s">
        <v>197</v>
      </c>
      <c r="D189" s="22" t="s">
        <v>2046</v>
      </c>
      <c r="E189" s="3" t="s">
        <v>2047</v>
      </c>
      <c r="F189" s="3" t="s">
        <v>2048</v>
      </c>
      <c r="G189" s="3" t="s">
        <v>1503</v>
      </c>
      <c r="H189" s="3" t="s">
        <v>2049</v>
      </c>
      <c r="I189" s="3" t="s">
        <v>1505</v>
      </c>
      <c r="J189" s="3" t="s">
        <v>2050</v>
      </c>
    </row>
    <row r="190" spans="1:10" ht="49.5" customHeight="1" x14ac:dyDescent="0.35">
      <c r="A190" s="24" t="s">
        <v>965</v>
      </c>
      <c r="B190" s="3">
        <v>1</v>
      </c>
      <c r="C190" s="24" t="s">
        <v>201</v>
      </c>
      <c r="D190" s="24" t="s">
        <v>2051</v>
      </c>
      <c r="E190" s="3" t="s">
        <v>2052</v>
      </c>
      <c r="F190" s="3" t="s">
        <v>2053</v>
      </c>
      <c r="G190" s="3" t="s">
        <v>1510</v>
      </c>
      <c r="H190" s="3" t="s">
        <v>1511</v>
      </c>
      <c r="I190" s="3" t="s">
        <v>1512</v>
      </c>
      <c r="J190" s="3" t="s">
        <v>2054</v>
      </c>
    </row>
    <row r="191" spans="1:10" ht="49.5" customHeight="1" x14ac:dyDescent="0.35">
      <c r="A191" s="25" t="s">
        <v>965</v>
      </c>
      <c r="B191" s="3">
        <v>2</v>
      </c>
      <c r="C191" s="25" t="s">
        <v>205</v>
      </c>
      <c r="D191" s="25" t="s">
        <v>2055</v>
      </c>
      <c r="E191" s="3" t="s">
        <v>2056</v>
      </c>
      <c r="F191" s="3" t="s">
        <v>2057</v>
      </c>
      <c r="G191" s="3" t="s">
        <v>1517</v>
      </c>
      <c r="H191" s="3" t="s">
        <v>1518</v>
      </c>
      <c r="I191" s="3" t="s">
        <v>1519</v>
      </c>
      <c r="J191" s="3" t="s">
        <v>1520</v>
      </c>
    </row>
    <row r="192" spans="1:10" ht="49.5" customHeight="1" x14ac:dyDescent="0.35">
      <c r="A192" s="26" t="s">
        <v>965</v>
      </c>
      <c r="B192" s="23">
        <v>3</v>
      </c>
      <c r="C192" s="26" t="s">
        <v>209</v>
      </c>
      <c r="D192" s="26" t="s">
        <v>2058</v>
      </c>
      <c r="E192" s="23" t="s">
        <v>2059</v>
      </c>
      <c r="F192" s="23" t="s">
        <v>2060</v>
      </c>
      <c r="G192" s="23" t="s">
        <v>1524</v>
      </c>
      <c r="H192" s="23" t="s">
        <v>1525</v>
      </c>
      <c r="I192" s="23" t="s">
        <v>1526</v>
      </c>
      <c r="J192" s="23" t="s">
        <v>1527</v>
      </c>
    </row>
    <row r="193" spans="1:10" ht="49.5" customHeight="1" x14ac:dyDescent="0.35">
      <c r="A193" s="27" t="s">
        <v>965</v>
      </c>
      <c r="B193" s="23">
        <v>4</v>
      </c>
      <c r="C193" s="27" t="s">
        <v>213</v>
      </c>
      <c r="D193" s="27" t="s">
        <v>2061</v>
      </c>
      <c r="E193" s="23" t="s">
        <v>2062</v>
      </c>
      <c r="F193" s="23" t="s">
        <v>2063</v>
      </c>
      <c r="G193" s="23" t="s">
        <v>1531</v>
      </c>
      <c r="H193" s="23" t="s">
        <v>1532</v>
      </c>
      <c r="I193" s="23" t="s">
        <v>1533</v>
      </c>
      <c r="J193" s="23" t="s">
        <v>1534</v>
      </c>
    </row>
    <row r="194" spans="1:10" ht="49.5" customHeight="1" x14ac:dyDescent="0.35">
      <c r="A194" s="28" t="s">
        <v>965</v>
      </c>
      <c r="B194" s="23">
        <v>5</v>
      </c>
      <c r="C194" s="28" t="s">
        <v>217</v>
      </c>
      <c r="D194" s="28" t="s">
        <v>2064</v>
      </c>
      <c r="E194" s="23" t="s">
        <v>2065</v>
      </c>
      <c r="F194" s="23" t="s">
        <v>2066</v>
      </c>
      <c r="G194" s="23" t="s">
        <v>1538</v>
      </c>
      <c r="H194" s="23" t="s">
        <v>1539</v>
      </c>
      <c r="I194" s="23" t="s">
        <v>1540</v>
      </c>
      <c r="J194" s="23" t="s">
        <v>1541</v>
      </c>
    </row>
    <row r="195" spans="1:10" ht="49.5" customHeight="1" x14ac:dyDescent="0.35">
      <c r="A195" s="22" t="s">
        <v>975</v>
      </c>
      <c r="B195" s="23">
        <v>0</v>
      </c>
      <c r="C195" s="22" t="s">
        <v>197</v>
      </c>
      <c r="D195" s="22" t="s">
        <v>2067</v>
      </c>
      <c r="E195" s="23" t="s">
        <v>2068</v>
      </c>
      <c r="F195" s="23" t="s">
        <v>2069</v>
      </c>
      <c r="G195" s="23" t="s">
        <v>1503</v>
      </c>
      <c r="H195" s="23" t="s">
        <v>2070</v>
      </c>
      <c r="I195" s="23" t="s">
        <v>1505</v>
      </c>
      <c r="J195" s="23" t="s">
        <v>2071</v>
      </c>
    </row>
    <row r="196" spans="1:10" ht="49.5" customHeight="1" x14ac:dyDescent="0.35">
      <c r="A196" s="24" t="s">
        <v>975</v>
      </c>
      <c r="B196" s="23">
        <v>1</v>
      </c>
      <c r="C196" s="24" t="s">
        <v>201</v>
      </c>
      <c r="D196" s="24" t="s">
        <v>2072</v>
      </c>
      <c r="E196" s="23" t="s">
        <v>2073</v>
      </c>
      <c r="F196" s="23" t="s">
        <v>2074</v>
      </c>
      <c r="G196" s="23" t="s">
        <v>1510</v>
      </c>
      <c r="H196" s="23" t="s">
        <v>1511</v>
      </c>
      <c r="I196" s="23" t="s">
        <v>1512</v>
      </c>
      <c r="J196" s="23" t="s">
        <v>2075</v>
      </c>
    </row>
    <row r="197" spans="1:10" ht="49.5" customHeight="1" x14ac:dyDescent="0.35">
      <c r="A197" s="25" t="s">
        <v>975</v>
      </c>
      <c r="B197" s="23">
        <v>2</v>
      </c>
      <c r="C197" s="25" t="s">
        <v>205</v>
      </c>
      <c r="D197" s="25" t="s">
        <v>2076</v>
      </c>
      <c r="E197" s="23" t="s">
        <v>2077</v>
      </c>
      <c r="F197" s="23" t="s">
        <v>2078</v>
      </c>
      <c r="G197" s="23" t="s">
        <v>1517</v>
      </c>
      <c r="H197" s="23" t="s">
        <v>1518</v>
      </c>
      <c r="I197" s="23" t="s">
        <v>1519</v>
      </c>
      <c r="J197" s="23" t="s">
        <v>1520</v>
      </c>
    </row>
    <row r="198" spans="1:10" ht="49.5" customHeight="1" x14ac:dyDescent="0.35">
      <c r="A198" s="26" t="s">
        <v>975</v>
      </c>
      <c r="B198" s="3">
        <v>3</v>
      </c>
      <c r="C198" s="26" t="s">
        <v>209</v>
      </c>
      <c r="D198" s="26" t="s">
        <v>2079</v>
      </c>
      <c r="E198" s="3" t="s">
        <v>2080</v>
      </c>
      <c r="F198" s="3" t="s">
        <v>2081</v>
      </c>
      <c r="G198" s="3" t="s">
        <v>1524</v>
      </c>
      <c r="H198" s="3" t="s">
        <v>1525</v>
      </c>
      <c r="I198" s="3" t="s">
        <v>1526</v>
      </c>
      <c r="J198" s="3" t="s">
        <v>1527</v>
      </c>
    </row>
    <row r="199" spans="1:10" ht="49.5" customHeight="1" x14ac:dyDescent="0.35">
      <c r="A199" s="27" t="s">
        <v>975</v>
      </c>
      <c r="B199" s="3">
        <v>4</v>
      </c>
      <c r="C199" s="27" t="s">
        <v>213</v>
      </c>
      <c r="D199" s="27" t="s">
        <v>2082</v>
      </c>
      <c r="E199" s="3" t="s">
        <v>2083</v>
      </c>
      <c r="F199" s="3" t="s">
        <v>2084</v>
      </c>
      <c r="G199" s="3" t="s">
        <v>1531</v>
      </c>
      <c r="H199" s="3" t="s">
        <v>1532</v>
      </c>
      <c r="I199" s="3" t="s">
        <v>1533</v>
      </c>
      <c r="J199" s="3" t="s">
        <v>1534</v>
      </c>
    </row>
    <row r="200" spans="1:10" ht="49.5" customHeight="1" x14ac:dyDescent="0.35">
      <c r="A200" s="28" t="s">
        <v>975</v>
      </c>
      <c r="B200" s="3">
        <v>5</v>
      </c>
      <c r="C200" s="28" t="s">
        <v>217</v>
      </c>
      <c r="D200" s="28" t="s">
        <v>2085</v>
      </c>
      <c r="E200" s="3" t="s">
        <v>2086</v>
      </c>
      <c r="F200" s="3" t="s">
        <v>2087</v>
      </c>
      <c r="G200" s="3" t="s">
        <v>1538</v>
      </c>
      <c r="H200" s="3" t="s">
        <v>1539</v>
      </c>
      <c r="I200" s="3" t="s">
        <v>1540</v>
      </c>
      <c r="J200" s="3" t="s">
        <v>1541</v>
      </c>
    </row>
    <row r="201" spans="1:10" ht="49.5" customHeight="1" x14ac:dyDescent="0.35">
      <c r="A201" s="22" t="s">
        <v>985</v>
      </c>
      <c r="B201" s="3">
        <v>0</v>
      </c>
      <c r="C201" s="22" t="s">
        <v>197</v>
      </c>
      <c r="D201" s="22" t="s">
        <v>2088</v>
      </c>
      <c r="E201" s="3" t="s">
        <v>2089</v>
      </c>
      <c r="F201" s="3" t="s">
        <v>2090</v>
      </c>
      <c r="G201" s="3" t="s">
        <v>1503</v>
      </c>
      <c r="H201" s="3" t="s">
        <v>2091</v>
      </c>
      <c r="I201" s="3" t="s">
        <v>1505</v>
      </c>
      <c r="J201" s="3" t="s">
        <v>2092</v>
      </c>
    </row>
    <row r="202" spans="1:10" ht="49.5" customHeight="1" x14ac:dyDescent="0.35">
      <c r="A202" s="24" t="s">
        <v>985</v>
      </c>
      <c r="B202" s="3">
        <v>1</v>
      </c>
      <c r="C202" s="24" t="s">
        <v>201</v>
      </c>
      <c r="D202" s="24" t="s">
        <v>2093</v>
      </c>
      <c r="E202" s="3" t="s">
        <v>2094</v>
      </c>
      <c r="F202" s="3" t="s">
        <v>1885</v>
      </c>
      <c r="G202" s="3" t="s">
        <v>1510</v>
      </c>
      <c r="H202" s="3" t="s">
        <v>1511</v>
      </c>
      <c r="I202" s="3" t="s">
        <v>1512</v>
      </c>
      <c r="J202" s="3" t="s">
        <v>2095</v>
      </c>
    </row>
    <row r="203" spans="1:10" ht="49.5" customHeight="1" x14ac:dyDescent="0.35">
      <c r="A203" s="25" t="s">
        <v>985</v>
      </c>
      <c r="B203" s="3">
        <v>2</v>
      </c>
      <c r="C203" s="25" t="s">
        <v>205</v>
      </c>
      <c r="D203" s="25" t="s">
        <v>2096</v>
      </c>
      <c r="E203" s="3" t="s">
        <v>2097</v>
      </c>
      <c r="F203" s="3" t="s">
        <v>2098</v>
      </c>
      <c r="G203" s="3" t="s">
        <v>1517</v>
      </c>
      <c r="H203" s="3" t="s">
        <v>1518</v>
      </c>
      <c r="I203" s="3" t="s">
        <v>1519</v>
      </c>
      <c r="J203" s="3" t="s">
        <v>1520</v>
      </c>
    </row>
    <row r="204" spans="1:10" ht="49.5" customHeight="1" x14ac:dyDescent="0.35">
      <c r="A204" s="26" t="s">
        <v>985</v>
      </c>
      <c r="B204" s="23">
        <v>3</v>
      </c>
      <c r="C204" s="26" t="s">
        <v>209</v>
      </c>
      <c r="D204" s="26" t="s">
        <v>2099</v>
      </c>
      <c r="E204" s="23" t="s">
        <v>2100</v>
      </c>
      <c r="F204" s="23" t="s">
        <v>2101</v>
      </c>
      <c r="G204" s="23" t="s">
        <v>1524</v>
      </c>
      <c r="H204" s="23" t="s">
        <v>1525</v>
      </c>
      <c r="I204" s="23" t="s">
        <v>1526</v>
      </c>
      <c r="J204" s="23" t="s">
        <v>1527</v>
      </c>
    </row>
    <row r="205" spans="1:10" ht="49.5" customHeight="1" x14ac:dyDescent="0.35">
      <c r="A205" s="27" t="s">
        <v>985</v>
      </c>
      <c r="B205" s="23">
        <v>4</v>
      </c>
      <c r="C205" s="27" t="s">
        <v>213</v>
      </c>
      <c r="D205" s="27" t="s">
        <v>2102</v>
      </c>
      <c r="E205" s="23" t="s">
        <v>2103</v>
      </c>
      <c r="F205" s="23" t="s">
        <v>2104</v>
      </c>
      <c r="G205" s="23" t="s">
        <v>1531</v>
      </c>
      <c r="H205" s="23" t="s">
        <v>1532</v>
      </c>
      <c r="I205" s="23" t="s">
        <v>1533</v>
      </c>
      <c r="J205" s="23" t="s">
        <v>1534</v>
      </c>
    </row>
    <row r="206" spans="1:10" ht="49.5" customHeight="1" x14ac:dyDescent="0.35">
      <c r="A206" s="28" t="s">
        <v>985</v>
      </c>
      <c r="B206" s="23">
        <v>5</v>
      </c>
      <c r="C206" s="28" t="s">
        <v>217</v>
      </c>
      <c r="D206" s="28" t="s">
        <v>2105</v>
      </c>
      <c r="E206" s="23" t="s">
        <v>2106</v>
      </c>
      <c r="F206" s="23" t="s">
        <v>2107</v>
      </c>
      <c r="G206" s="23" t="s">
        <v>1538</v>
      </c>
      <c r="H206" s="23" t="s">
        <v>1539</v>
      </c>
      <c r="I206" s="23" t="s">
        <v>1540</v>
      </c>
      <c r="J206" s="23" t="s">
        <v>1541</v>
      </c>
    </row>
    <row r="207" spans="1:10" ht="49.5" customHeight="1" x14ac:dyDescent="0.35">
      <c r="A207" s="22" t="s">
        <v>996</v>
      </c>
      <c r="B207" s="23">
        <v>0</v>
      </c>
      <c r="C207" s="22" t="s">
        <v>197</v>
      </c>
      <c r="D207" s="22" t="s">
        <v>2108</v>
      </c>
      <c r="E207" s="23" t="s">
        <v>2109</v>
      </c>
      <c r="F207" s="23" t="s">
        <v>2110</v>
      </c>
      <c r="G207" s="23" t="s">
        <v>1503</v>
      </c>
      <c r="H207" s="23" t="s">
        <v>2111</v>
      </c>
      <c r="I207" s="23" t="s">
        <v>1505</v>
      </c>
      <c r="J207" s="23" t="s">
        <v>2112</v>
      </c>
    </row>
    <row r="208" spans="1:10" ht="49.5" customHeight="1" x14ac:dyDescent="0.35">
      <c r="A208" s="24" t="s">
        <v>996</v>
      </c>
      <c r="B208" s="23">
        <v>1</v>
      </c>
      <c r="C208" s="24" t="s">
        <v>201</v>
      </c>
      <c r="D208" s="24" t="s">
        <v>2113</v>
      </c>
      <c r="E208" s="23" t="s">
        <v>2114</v>
      </c>
      <c r="F208" s="23" t="s">
        <v>2115</v>
      </c>
      <c r="G208" s="23" t="s">
        <v>1510</v>
      </c>
      <c r="H208" s="23" t="s">
        <v>1511</v>
      </c>
      <c r="I208" s="23" t="s">
        <v>1512</v>
      </c>
      <c r="J208" s="23" t="s">
        <v>2116</v>
      </c>
    </row>
    <row r="209" spans="1:10" ht="49.5" customHeight="1" x14ac:dyDescent="0.35">
      <c r="A209" s="25" t="s">
        <v>996</v>
      </c>
      <c r="B209" s="23">
        <v>2</v>
      </c>
      <c r="C209" s="25" t="s">
        <v>205</v>
      </c>
      <c r="D209" s="25" t="s">
        <v>2117</v>
      </c>
      <c r="E209" s="23" t="s">
        <v>2118</v>
      </c>
      <c r="F209" s="23" t="s">
        <v>2119</v>
      </c>
      <c r="G209" s="23" t="s">
        <v>1517</v>
      </c>
      <c r="H209" s="23" t="s">
        <v>1518</v>
      </c>
      <c r="I209" s="23" t="s">
        <v>1519</v>
      </c>
      <c r="J209" s="23" t="s">
        <v>1520</v>
      </c>
    </row>
    <row r="210" spans="1:10" ht="49.5" customHeight="1" x14ac:dyDescent="0.35">
      <c r="A210" s="26" t="s">
        <v>996</v>
      </c>
      <c r="B210" s="3">
        <v>3</v>
      </c>
      <c r="C210" s="26" t="s">
        <v>209</v>
      </c>
      <c r="D210" s="26" t="s">
        <v>2120</v>
      </c>
      <c r="E210" s="3" t="s">
        <v>2121</v>
      </c>
      <c r="F210" s="3" t="s">
        <v>2122</v>
      </c>
      <c r="G210" s="3" t="s">
        <v>1524</v>
      </c>
      <c r="H210" s="3" t="s">
        <v>1525</v>
      </c>
      <c r="I210" s="3" t="s">
        <v>1526</v>
      </c>
      <c r="J210" s="3" t="s">
        <v>1527</v>
      </c>
    </row>
    <row r="211" spans="1:10" ht="49.5" customHeight="1" x14ac:dyDescent="0.35">
      <c r="A211" s="27" t="s">
        <v>996</v>
      </c>
      <c r="B211" s="3">
        <v>4</v>
      </c>
      <c r="C211" s="27" t="s">
        <v>213</v>
      </c>
      <c r="D211" s="27" t="s">
        <v>2123</v>
      </c>
      <c r="E211" s="3" t="s">
        <v>2124</v>
      </c>
      <c r="F211" s="3" t="s">
        <v>2125</v>
      </c>
      <c r="G211" s="3" t="s">
        <v>1531</v>
      </c>
      <c r="H211" s="3" t="s">
        <v>1532</v>
      </c>
      <c r="I211" s="3" t="s">
        <v>1533</v>
      </c>
      <c r="J211" s="3" t="s">
        <v>1534</v>
      </c>
    </row>
    <row r="212" spans="1:10" ht="49.5" customHeight="1" x14ac:dyDescent="0.35">
      <c r="A212" s="28" t="s">
        <v>996</v>
      </c>
      <c r="B212" s="3">
        <v>5</v>
      </c>
      <c r="C212" s="28" t="s">
        <v>217</v>
      </c>
      <c r="D212" s="28" t="s">
        <v>2126</v>
      </c>
      <c r="E212" s="3" t="s">
        <v>2127</v>
      </c>
      <c r="F212" s="3" t="s">
        <v>2128</v>
      </c>
      <c r="G212" s="3" t="s">
        <v>1538</v>
      </c>
      <c r="H212" s="3" t="s">
        <v>1539</v>
      </c>
      <c r="I212" s="3" t="s">
        <v>1540</v>
      </c>
      <c r="J212" s="3" t="s">
        <v>1541</v>
      </c>
    </row>
    <row r="213" spans="1:10" ht="49.5" customHeight="1" x14ac:dyDescent="0.35">
      <c r="A213" s="22" t="s">
        <v>1007</v>
      </c>
      <c r="B213" s="3">
        <v>0</v>
      </c>
      <c r="C213" s="22" t="s">
        <v>197</v>
      </c>
      <c r="D213" s="22" t="s">
        <v>2129</v>
      </c>
      <c r="E213" s="3" t="s">
        <v>2130</v>
      </c>
      <c r="F213" s="3" t="s">
        <v>2131</v>
      </c>
      <c r="G213" s="3" t="s">
        <v>1503</v>
      </c>
      <c r="H213" s="3" t="s">
        <v>2132</v>
      </c>
      <c r="I213" s="3" t="s">
        <v>1505</v>
      </c>
      <c r="J213" s="3" t="s">
        <v>2133</v>
      </c>
    </row>
    <row r="214" spans="1:10" ht="49.5" customHeight="1" x14ac:dyDescent="0.35">
      <c r="A214" s="24" t="s">
        <v>1007</v>
      </c>
      <c r="B214" s="3">
        <v>1</v>
      </c>
      <c r="C214" s="24" t="s">
        <v>201</v>
      </c>
      <c r="D214" s="24" t="s">
        <v>2134</v>
      </c>
      <c r="E214" s="3" t="s">
        <v>2135</v>
      </c>
      <c r="F214" s="3" t="s">
        <v>2136</v>
      </c>
      <c r="G214" s="3" t="s">
        <v>1510</v>
      </c>
      <c r="H214" s="3" t="s">
        <v>1511</v>
      </c>
      <c r="I214" s="3" t="s">
        <v>1512</v>
      </c>
      <c r="J214" s="3" t="s">
        <v>2137</v>
      </c>
    </row>
    <row r="215" spans="1:10" ht="49.5" customHeight="1" x14ac:dyDescent="0.35">
      <c r="A215" s="25" t="s">
        <v>1007</v>
      </c>
      <c r="B215" s="3">
        <v>2</v>
      </c>
      <c r="C215" s="25" t="s">
        <v>205</v>
      </c>
      <c r="D215" s="25" t="s">
        <v>2138</v>
      </c>
      <c r="E215" s="3" t="s">
        <v>2139</v>
      </c>
      <c r="F215" s="3" t="s">
        <v>2140</v>
      </c>
      <c r="G215" s="3" t="s">
        <v>1517</v>
      </c>
      <c r="H215" s="3" t="s">
        <v>1518</v>
      </c>
      <c r="I215" s="3" t="s">
        <v>1519</v>
      </c>
      <c r="J215" s="3" t="s">
        <v>1520</v>
      </c>
    </row>
    <row r="216" spans="1:10" ht="49.5" customHeight="1" x14ac:dyDescent="0.35">
      <c r="A216" s="26" t="s">
        <v>1007</v>
      </c>
      <c r="B216" s="23">
        <v>3</v>
      </c>
      <c r="C216" s="26" t="s">
        <v>209</v>
      </c>
      <c r="D216" s="26" t="s">
        <v>2141</v>
      </c>
      <c r="E216" s="23" t="s">
        <v>2142</v>
      </c>
      <c r="F216" s="23" t="s">
        <v>2143</v>
      </c>
      <c r="G216" s="23" t="s">
        <v>1524</v>
      </c>
      <c r="H216" s="23" t="s">
        <v>1525</v>
      </c>
      <c r="I216" s="23" t="s">
        <v>1526</v>
      </c>
      <c r="J216" s="23" t="s">
        <v>1527</v>
      </c>
    </row>
    <row r="217" spans="1:10" ht="49.5" customHeight="1" x14ac:dyDescent="0.35">
      <c r="A217" s="27" t="s">
        <v>1007</v>
      </c>
      <c r="B217" s="23">
        <v>4</v>
      </c>
      <c r="C217" s="27" t="s">
        <v>213</v>
      </c>
      <c r="D217" s="27" t="s">
        <v>2144</v>
      </c>
      <c r="E217" s="23" t="s">
        <v>2145</v>
      </c>
      <c r="F217" s="23" t="s">
        <v>2146</v>
      </c>
      <c r="G217" s="23" t="s">
        <v>1531</v>
      </c>
      <c r="H217" s="23" t="s">
        <v>1532</v>
      </c>
      <c r="I217" s="23" t="s">
        <v>1533</v>
      </c>
      <c r="J217" s="23" t="s">
        <v>1534</v>
      </c>
    </row>
    <row r="218" spans="1:10" ht="49.5" customHeight="1" x14ac:dyDescent="0.35">
      <c r="A218" s="28" t="s">
        <v>1007</v>
      </c>
      <c r="B218" s="23">
        <v>5</v>
      </c>
      <c r="C218" s="28" t="s">
        <v>217</v>
      </c>
      <c r="D218" s="28" t="s">
        <v>2147</v>
      </c>
      <c r="E218" s="23" t="s">
        <v>2148</v>
      </c>
      <c r="F218" s="23" t="s">
        <v>2149</v>
      </c>
      <c r="G218" s="23" t="s">
        <v>1538</v>
      </c>
      <c r="H218" s="23" t="s">
        <v>1539</v>
      </c>
      <c r="I218" s="23" t="s">
        <v>1540</v>
      </c>
      <c r="J218" s="23" t="s">
        <v>1541</v>
      </c>
    </row>
    <row r="219" spans="1:10" ht="49.5" customHeight="1" x14ac:dyDescent="0.35">
      <c r="A219" s="22" t="s">
        <v>1017</v>
      </c>
      <c r="B219" s="23">
        <v>0</v>
      </c>
      <c r="C219" s="22" t="s">
        <v>197</v>
      </c>
      <c r="D219" s="22" t="s">
        <v>2150</v>
      </c>
      <c r="E219" s="23" t="s">
        <v>2151</v>
      </c>
      <c r="F219" s="23" t="s">
        <v>2152</v>
      </c>
      <c r="G219" s="23" t="s">
        <v>1503</v>
      </c>
      <c r="H219" s="23" t="s">
        <v>2153</v>
      </c>
      <c r="I219" s="23" t="s">
        <v>1505</v>
      </c>
      <c r="J219" s="23" t="s">
        <v>2154</v>
      </c>
    </row>
    <row r="220" spans="1:10" ht="49.5" customHeight="1" x14ac:dyDescent="0.35">
      <c r="A220" s="24" t="s">
        <v>1017</v>
      </c>
      <c r="B220" s="23">
        <v>1</v>
      </c>
      <c r="C220" s="24" t="s">
        <v>201</v>
      </c>
      <c r="D220" s="24" t="s">
        <v>2155</v>
      </c>
      <c r="E220" s="23" t="s">
        <v>2156</v>
      </c>
      <c r="F220" s="23" t="s">
        <v>2157</v>
      </c>
      <c r="G220" s="23" t="s">
        <v>1510</v>
      </c>
      <c r="H220" s="23" t="s">
        <v>1511</v>
      </c>
      <c r="I220" s="23" t="s">
        <v>1512</v>
      </c>
      <c r="J220" s="23" t="s">
        <v>2158</v>
      </c>
    </row>
    <row r="221" spans="1:10" ht="49.5" customHeight="1" x14ac:dyDescent="0.35">
      <c r="A221" s="25" t="s">
        <v>1017</v>
      </c>
      <c r="B221" s="23">
        <v>2</v>
      </c>
      <c r="C221" s="25" t="s">
        <v>205</v>
      </c>
      <c r="D221" s="25" t="s">
        <v>2159</v>
      </c>
      <c r="E221" s="23" t="s">
        <v>2160</v>
      </c>
      <c r="F221" s="23" t="s">
        <v>2161</v>
      </c>
      <c r="G221" s="23" t="s">
        <v>1517</v>
      </c>
      <c r="H221" s="23" t="s">
        <v>1518</v>
      </c>
      <c r="I221" s="23" t="s">
        <v>1519</v>
      </c>
      <c r="J221" s="23" t="s">
        <v>1520</v>
      </c>
    </row>
    <row r="222" spans="1:10" ht="49.5" customHeight="1" x14ac:dyDescent="0.35">
      <c r="A222" s="26" t="s">
        <v>1017</v>
      </c>
      <c r="B222" s="3">
        <v>3</v>
      </c>
      <c r="C222" s="26" t="s">
        <v>209</v>
      </c>
      <c r="D222" s="26" t="s">
        <v>2162</v>
      </c>
      <c r="E222" s="3" t="s">
        <v>2163</v>
      </c>
      <c r="F222" s="3" t="s">
        <v>2164</v>
      </c>
      <c r="G222" s="3" t="s">
        <v>1524</v>
      </c>
      <c r="H222" s="3" t="s">
        <v>1525</v>
      </c>
      <c r="I222" s="3" t="s">
        <v>1526</v>
      </c>
      <c r="J222" s="3" t="s">
        <v>1527</v>
      </c>
    </row>
    <row r="223" spans="1:10" ht="49.5" customHeight="1" x14ac:dyDescent="0.35">
      <c r="A223" s="27" t="s">
        <v>1017</v>
      </c>
      <c r="B223" s="3">
        <v>4</v>
      </c>
      <c r="C223" s="27" t="s">
        <v>213</v>
      </c>
      <c r="D223" s="27" t="s">
        <v>2165</v>
      </c>
      <c r="E223" s="3" t="s">
        <v>2166</v>
      </c>
      <c r="F223" s="3" t="s">
        <v>2167</v>
      </c>
      <c r="G223" s="3" t="s">
        <v>1531</v>
      </c>
      <c r="H223" s="3" t="s">
        <v>1532</v>
      </c>
      <c r="I223" s="3" t="s">
        <v>1533</v>
      </c>
      <c r="J223" s="3" t="s">
        <v>1534</v>
      </c>
    </row>
    <row r="224" spans="1:10" ht="49.5" customHeight="1" x14ac:dyDescent="0.35">
      <c r="A224" s="28" t="s">
        <v>1017</v>
      </c>
      <c r="B224" s="3">
        <v>5</v>
      </c>
      <c r="C224" s="28" t="s">
        <v>217</v>
      </c>
      <c r="D224" s="28" t="s">
        <v>2168</v>
      </c>
      <c r="E224" s="3" t="s">
        <v>2169</v>
      </c>
      <c r="F224" s="3" t="s">
        <v>2170</v>
      </c>
      <c r="G224" s="3" t="s">
        <v>1538</v>
      </c>
      <c r="H224" s="3" t="s">
        <v>1539</v>
      </c>
      <c r="I224" s="3" t="s">
        <v>1540</v>
      </c>
      <c r="J224" s="3" t="s">
        <v>1541</v>
      </c>
    </row>
    <row r="225" spans="1:10" ht="49.5" customHeight="1" x14ac:dyDescent="0.35">
      <c r="A225" s="22" t="s">
        <v>1026</v>
      </c>
      <c r="B225" s="3">
        <v>0</v>
      </c>
      <c r="C225" s="22" t="s">
        <v>197</v>
      </c>
      <c r="D225" s="22" t="s">
        <v>2171</v>
      </c>
      <c r="E225" s="3" t="s">
        <v>2172</v>
      </c>
      <c r="F225" s="3" t="s">
        <v>2173</v>
      </c>
      <c r="G225" s="3" t="s">
        <v>1503</v>
      </c>
      <c r="H225" s="3" t="s">
        <v>2174</v>
      </c>
      <c r="I225" s="3" t="s">
        <v>1505</v>
      </c>
      <c r="J225" s="3" t="s">
        <v>2175</v>
      </c>
    </row>
    <row r="226" spans="1:10" ht="49.5" customHeight="1" x14ac:dyDescent="0.35">
      <c r="A226" s="24" t="s">
        <v>1026</v>
      </c>
      <c r="B226" s="3">
        <v>1</v>
      </c>
      <c r="C226" s="24" t="s">
        <v>201</v>
      </c>
      <c r="D226" s="24" t="s">
        <v>2176</v>
      </c>
      <c r="E226" s="3" t="s">
        <v>2177</v>
      </c>
      <c r="F226" s="3" t="s">
        <v>2178</v>
      </c>
      <c r="G226" s="3" t="s">
        <v>1510</v>
      </c>
      <c r="H226" s="3" t="s">
        <v>1511</v>
      </c>
      <c r="I226" s="3" t="s">
        <v>1512</v>
      </c>
      <c r="J226" s="3" t="s">
        <v>2179</v>
      </c>
    </row>
    <row r="227" spans="1:10" ht="49.5" customHeight="1" x14ac:dyDescent="0.35">
      <c r="A227" s="25" t="s">
        <v>1026</v>
      </c>
      <c r="B227" s="3">
        <v>2</v>
      </c>
      <c r="C227" s="25" t="s">
        <v>205</v>
      </c>
      <c r="D227" s="25" t="s">
        <v>2180</v>
      </c>
      <c r="E227" s="3" t="s">
        <v>2181</v>
      </c>
      <c r="F227" s="3" t="s">
        <v>2182</v>
      </c>
      <c r="G227" s="3" t="s">
        <v>1517</v>
      </c>
      <c r="H227" s="3" t="s">
        <v>1518</v>
      </c>
      <c r="I227" s="3" t="s">
        <v>1519</v>
      </c>
      <c r="J227" s="3" t="s">
        <v>1520</v>
      </c>
    </row>
    <row r="228" spans="1:10" ht="49.5" customHeight="1" x14ac:dyDescent="0.35">
      <c r="A228" s="26" t="s">
        <v>1026</v>
      </c>
      <c r="B228" s="23">
        <v>3</v>
      </c>
      <c r="C228" s="26" t="s">
        <v>209</v>
      </c>
      <c r="D228" s="26" t="s">
        <v>2183</v>
      </c>
      <c r="E228" s="23" t="s">
        <v>2184</v>
      </c>
      <c r="F228" s="23" t="s">
        <v>2185</v>
      </c>
      <c r="G228" s="23" t="s">
        <v>1524</v>
      </c>
      <c r="H228" s="23" t="s">
        <v>1525</v>
      </c>
      <c r="I228" s="23" t="s">
        <v>1526</v>
      </c>
      <c r="J228" s="23" t="s">
        <v>1527</v>
      </c>
    </row>
    <row r="229" spans="1:10" ht="49.5" customHeight="1" x14ac:dyDescent="0.35">
      <c r="A229" s="27" t="s">
        <v>1026</v>
      </c>
      <c r="B229" s="23">
        <v>4</v>
      </c>
      <c r="C229" s="27" t="s">
        <v>213</v>
      </c>
      <c r="D229" s="27" t="s">
        <v>2186</v>
      </c>
      <c r="E229" s="23" t="s">
        <v>2187</v>
      </c>
      <c r="F229" s="23" t="s">
        <v>2188</v>
      </c>
      <c r="G229" s="23" t="s">
        <v>1531</v>
      </c>
      <c r="H229" s="23" t="s">
        <v>1532</v>
      </c>
      <c r="I229" s="23" t="s">
        <v>1533</v>
      </c>
      <c r="J229" s="23" t="s">
        <v>1534</v>
      </c>
    </row>
    <row r="230" spans="1:10" ht="49.5" customHeight="1" x14ac:dyDescent="0.35">
      <c r="A230" s="28" t="s">
        <v>1026</v>
      </c>
      <c r="B230" s="23">
        <v>5</v>
      </c>
      <c r="C230" s="28" t="s">
        <v>217</v>
      </c>
      <c r="D230" s="28" t="s">
        <v>2189</v>
      </c>
      <c r="E230" s="23" t="s">
        <v>2190</v>
      </c>
      <c r="F230" s="23" t="s">
        <v>2191</v>
      </c>
      <c r="G230" s="23" t="s">
        <v>1538</v>
      </c>
      <c r="H230" s="23" t="s">
        <v>1539</v>
      </c>
      <c r="I230" s="23" t="s">
        <v>1540</v>
      </c>
      <c r="J230" s="23" t="s">
        <v>1541</v>
      </c>
    </row>
    <row r="231" spans="1:10" ht="49.5" customHeight="1" x14ac:dyDescent="0.35">
      <c r="A231" s="22" t="s">
        <v>1035</v>
      </c>
      <c r="B231" s="23">
        <v>0</v>
      </c>
      <c r="C231" s="22" t="s">
        <v>197</v>
      </c>
      <c r="D231" s="22" t="s">
        <v>2192</v>
      </c>
      <c r="E231" s="23" t="s">
        <v>2193</v>
      </c>
      <c r="F231" s="23" t="s">
        <v>2194</v>
      </c>
      <c r="G231" s="23" t="s">
        <v>1503</v>
      </c>
      <c r="H231" s="23" t="s">
        <v>2195</v>
      </c>
      <c r="I231" s="23" t="s">
        <v>1505</v>
      </c>
      <c r="J231" s="23" t="s">
        <v>2196</v>
      </c>
    </row>
    <row r="232" spans="1:10" ht="49.5" customHeight="1" x14ac:dyDescent="0.35">
      <c r="A232" s="24" t="s">
        <v>1035</v>
      </c>
      <c r="B232" s="23">
        <v>1</v>
      </c>
      <c r="C232" s="24" t="s">
        <v>201</v>
      </c>
      <c r="D232" s="24" t="s">
        <v>2197</v>
      </c>
      <c r="E232" s="23" t="s">
        <v>2198</v>
      </c>
      <c r="F232" s="23" t="s">
        <v>2199</v>
      </c>
      <c r="G232" s="23" t="s">
        <v>1510</v>
      </c>
      <c r="H232" s="23" t="s">
        <v>1511</v>
      </c>
      <c r="I232" s="23" t="s">
        <v>1512</v>
      </c>
      <c r="J232" s="23" t="s">
        <v>2200</v>
      </c>
    </row>
    <row r="233" spans="1:10" ht="49.5" customHeight="1" x14ac:dyDescent="0.35">
      <c r="A233" s="25" t="s">
        <v>1035</v>
      </c>
      <c r="B233" s="23">
        <v>2</v>
      </c>
      <c r="C233" s="25" t="s">
        <v>205</v>
      </c>
      <c r="D233" s="25" t="s">
        <v>2201</v>
      </c>
      <c r="E233" s="23" t="s">
        <v>2202</v>
      </c>
      <c r="F233" s="23" t="s">
        <v>2203</v>
      </c>
      <c r="G233" s="23" t="s">
        <v>1517</v>
      </c>
      <c r="H233" s="23" t="s">
        <v>1518</v>
      </c>
      <c r="I233" s="23" t="s">
        <v>1519</v>
      </c>
      <c r="J233" s="23" t="s">
        <v>1520</v>
      </c>
    </row>
    <row r="234" spans="1:10" ht="49.5" customHeight="1" x14ac:dyDescent="0.35">
      <c r="A234" s="26" t="s">
        <v>1035</v>
      </c>
      <c r="B234" s="3">
        <v>3</v>
      </c>
      <c r="C234" s="26" t="s">
        <v>209</v>
      </c>
      <c r="D234" s="26" t="s">
        <v>2204</v>
      </c>
      <c r="E234" s="3" t="s">
        <v>2205</v>
      </c>
      <c r="F234" s="3" t="s">
        <v>2206</v>
      </c>
      <c r="G234" s="3" t="s">
        <v>1524</v>
      </c>
      <c r="H234" s="3" t="s">
        <v>1525</v>
      </c>
      <c r="I234" s="3" t="s">
        <v>1526</v>
      </c>
      <c r="J234" s="3" t="s">
        <v>1527</v>
      </c>
    </row>
    <row r="235" spans="1:10" ht="49.5" customHeight="1" x14ac:dyDescent="0.35">
      <c r="A235" s="27" t="s">
        <v>1035</v>
      </c>
      <c r="B235" s="3">
        <v>4</v>
      </c>
      <c r="C235" s="27" t="s">
        <v>213</v>
      </c>
      <c r="D235" s="27" t="s">
        <v>2207</v>
      </c>
      <c r="E235" s="3" t="s">
        <v>2208</v>
      </c>
      <c r="F235" s="3" t="s">
        <v>2209</v>
      </c>
      <c r="G235" s="3" t="s">
        <v>1531</v>
      </c>
      <c r="H235" s="3" t="s">
        <v>1532</v>
      </c>
      <c r="I235" s="3" t="s">
        <v>1533</v>
      </c>
      <c r="J235" s="3" t="s">
        <v>1534</v>
      </c>
    </row>
    <row r="236" spans="1:10" ht="49.5" customHeight="1" x14ac:dyDescent="0.35">
      <c r="A236" s="28" t="s">
        <v>1035</v>
      </c>
      <c r="B236" s="3">
        <v>5</v>
      </c>
      <c r="C236" s="28" t="s">
        <v>217</v>
      </c>
      <c r="D236" s="28" t="s">
        <v>2210</v>
      </c>
      <c r="E236" s="3" t="s">
        <v>2211</v>
      </c>
      <c r="F236" s="3" t="s">
        <v>2212</v>
      </c>
      <c r="G236" s="3" t="s">
        <v>1538</v>
      </c>
      <c r="H236" s="3" t="s">
        <v>1539</v>
      </c>
      <c r="I236" s="3" t="s">
        <v>1540</v>
      </c>
      <c r="J236" s="3" t="s">
        <v>1541</v>
      </c>
    </row>
    <row r="237" spans="1:10" ht="49.5" customHeight="1" x14ac:dyDescent="0.35">
      <c r="A237" s="22" t="s">
        <v>1044</v>
      </c>
      <c r="B237" s="3">
        <v>0</v>
      </c>
      <c r="C237" s="22" t="s">
        <v>197</v>
      </c>
      <c r="D237" s="22" t="s">
        <v>2213</v>
      </c>
      <c r="E237" s="3" t="s">
        <v>2214</v>
      </c>
      <c r="F237" s="3" t="s">
        <v>2215</v>
      </c>
      <c r="G237" s="3" t="s">
        <v>1503</v>
      </c>
      <c r="H237" s="3" t="s">
        <v>2216</v>
      </c>
      <c r="I237" s="3" t="s">
        <v>1505</v>
      </c>
      <c r="J237" s="3" t="s">
        <v>2217</v>
      </c>
    </row>
    <row r="238" spans="1:10" ht="49.5" customHeight="1" x14ac:dyDescent="0.35">
      <c r="A238" s="24" t="s">
        <v>1044</v>
      </c>
      <c r="B238" s="3">
        <v>1</v>
      </c>
      <c r="C238" s="24" t="s">
        <v>201</v>
      </c>
      <c r="D238" s="24" t="s">
        <v>2218</v>
      </c>
      <c r="E238" s="3" t="s">
        <v>2219</v>
      </c>
      <c r="F238" s="3" t="s">
        <v>2220</v>
      </c>
      <c r="G238" s="3" t="s">
        <v>1510</v>
      </c>
      <c r="H238" s="3" t="s">
        <v>1511</v>
      </c>
      <c r="I238" s="3" t="s">
        <v>1512</v>
      </c>
      <c r="J238" s="3" t="s">
        <v>2221</v>
      </c>
    </row>
    <row r="239" spans="1:10" ht="49.5" customHeight="1" x14ac:dyDescent="0.35">
      <c r="A239" s="25" t="s">
        <v>1044</v>
      </c>
      <c r="B239" s="3">
        <v>2</v>
      </c>
      <c r="C239" s="25" t="s">
        <v>205</v>
      </c>
      <c r="D239" s="25" t="s">
        <v>2222</v>
      </c>
      <c r="E239" s="3" t="s">
        <v>2223</v>
      </c>
      <c r="F239" s="3" t="s">
        <v>2224</v>
      </c>
      <c r="G239" s="3" t="s">
        <v>1517</v>
      </c>
      <c r="H239" s="3" t="s">
        <v>1518</v>
      </c>
      <c r="I239" s="3" t="s">
        <v>1519</v>
      </c>
      <c r="J239" s="3" t="s">
        <v>1520</v>
      </c>
    </row>
    <row r="240" spans="1:10" ht="49.5" customHeight="1" x14ac:dyDescent="0.35">
      <c r="A240" s="26" t="s">
        <v>1044</v>
      </c>
      <c r="B240" s="23">
        <v>3</v>
      </c>
      <c r="C240" s="26" t="s">
        <v>209</v>
      </c>
      <c r="D240" s="26" t="s">
        <v>2225</v>
      </c>
      <c r="E240" s="23" t="s">
        <v>2226</v>
      </c>
      <c r="F240" s="23" t="s">
        <v>2227</v>
      </c>
      <c r="G240" s="23" t="s">
        <v>1524</v>
      </c>
      <c r="H240" s="23" t="s">
        <v>1525</v>
      </c>
      <c r="I240" s="23" t="s">
        <v>1526</v>
      </c>
      <c r="J240" s="23" t="s">
        <v>1527</v>
      </c>
    </row>
    <row r="241" spans="1:10" ht="49.5" customHeight="1" x14ac:dyDescent="0.35">
      <c r="A241" s="27" t="s">
        <v>1044</v>
      </c>
      <c r="B241" s="23">
        <v>4</v>
      </c>
      <c r="C241" s="27" t="s">
        <v>213</v>
      </c>
      <c r="D241" s="27" t="s">
        <v>2228</v>
      </c>
      <c r="E241" s="23" t="s">
        <v>2229</v>
      </c>
      <c r="F241" s="23" t="s">
        <v>2230</v>
      </c>
      <c r="G241" s="23" t="s">
        <v>1531</v>
      </c>
      <c r="H241" s="23" t="s">
        <v>1532</v>
      </c>
      <c r="I241" s="23" t="s">
        <v>1533</v>
      </c>
      <c r="J241" s="23" t="s">
        <v>1534</v>
      </c>
    </row>
    <row r="242" spans="1:10" ht="49.5" customHeight="1" x14ac:dyDescent="0.35">
      <c r="A242" s="28" t="s">
        <v>1044</v>
      </c>
      <c r="B242" s="23">
        <v>5</v>
      </c>
      <c r="C242" s="28" t="s">
        <v>217</v>
      </c>
      <c r="D242" s="28" t="s">
        <v>2231</v>
      </c>
      <c r="E242" s="23" t="s">
        <v>2232</v>
      </c>
      <c r="F242" s="23" t="s">
        <v>2233</v>
      </c>
      <c r="G242" s="23" t="s">
        <v>1538</v>
      </c>
      <c r="H242" s="23" t="s">
        <v>1539</v>
      </c>
      <c r="I242" s="23" t="s">
        <v>1540</v>
      </c>
      <c r="J242" s="23" t="s">
        <v>1541</v>
      </c>
    </row>
    <row r="243" spans="1:10" ht="49.5" customHeight="1" x14ac:dyDescent="0.35">
      <c r="A243" s="22" t="s">
        <v>1054</v>
      </c>
      <c r="B243" s="23">
        <v>0</v>
      </c>
      <c r="C243" s="22" t="s">
        <v>197</v>
      </c>
      <c r="D243" s="22" t="s">
        <v>2234</v>
      </c>
      <c r="E243" s="23" t="s">
        <v>2235</v>
      </c>
      <c r="F243" s="23" t="s">
        <v>2236</v>
      </c>
      <c r="G243" s="23" t="s">
        <v>1503</v>
      </c>
      <c r="H243" s="23" t="s">
        <v>2237</v>
      </c>
      <c r="I243" s="23" t="s">
        <v>1505</v>
      </c>
      <c r="J243" s="23" t="s">
        <v>2238</v>
      </c>
    </row>
    <row r="244" spans="1:10" ht="49.5" customHeight="1" x14ac:dyDescent="0.35">
      <c r="A244" s="24" t="s">
        <v>1054</v>
      </c>
      <c r="B244" s="23">
        <v>1</v>
      </c>
      <c r="C244" s="24" t="s">
        <v>201</v>
      </c>
      <c r="D244" s="24" t="s">
        <v>2239</v>
      </c>
      <c r="E244" s="23" t="s">
        <v>2240</v>
      </c>
      <c r="F244" s="23" t="s">
        <v>2241</v>
      </c>
      <c r="G244" s="23" t="s">
        <v>1510</v>
      </c>
      <c r="H244" s="23" t="s">
        <v>1511</v>
      </c>
      <c r="I244" s="23" t="s">
        <v>1512</v>
      </c>
      <c r="J244" s="23" t="s">
        <v>2242</v>
      </c>
    </row>
    <row r="245" spans="1:10" ht="49.5" customHeight="1" x14ac:dyDescent="0.35">
      <c r="A245" s="25" t="s">
        <v>1054</v>
      </c>
      <c r="B245" s="23">
        <v>2</v>
      </c>
      <c r="C245" s="25" t="s">
        <v>205</v>
      </c>
      <c r="D245" s="25" t="s">
        <v>2243</v>
      </c>
      <c r="E245" s="23" t="s">
        <v>2244</v>
      </c>
      <c r="F245" s="23" t="s">
        <v>2245</v>
      </c>
      <c r="G245" s="23" t="s">
        <v>1517</v>
      </c>
      <c r="H245" s="23" t="s">
        <v>1518</v>
      </c>
      <c r="I245" s="23" t="s">
        <v>1519</v>
      </c>
      <c r="J245" s="23" t="s">
        <v>1520</v>
      </c>
    </row>
    <row r="246" spans="1:10" ht="49.5" customHeight="1" x14ac:dyDescent="0.35">
      <c r="A246" s="26" t="s">
        <v>1054</v>
      </c>
      <c r="B246" s="3">
        <v>3</v>
      </c>
      <c r="C246" s="26" t="s">
        <v>209</v>
      </c>
      <c r="D246" s="26" t="s">
        <v>2246</v>
      </c>
      <c r="E246" s="3" t="s">
        <v>2247</v>
      </c>
      <c r="F246" s="3" t="s">
        <v>2248</v>
      </c>
      <c r="G246" s="3" t="s">
        <v>1524</v>
      </c>
      <c r="H246" s="3" t="s">
        <v>1525</v>
      </c>
      <c r="I246" s="3" t="s">
        <v>1526</v>
      </c>
      <c r="J246" s="3" t="s">
        <v>1527</v>
      </c>
    </row>
    <row r="247" spans="1:10" ht="49.5" customHeight="1" x14ac:dyDescent="0.35">
      <c r="A247" s="27" t="s">
        <v>1054</v>
      </c>
      <c r="B247" s="3">
        <v>4</v>
      </c>
      <c r="C247" s="27" t="s">
        <v>213</v>
      </c>
      <c r="D247" s="27" t="s">
        <v>2249</v>
      </c>
      <c r="E247" s="3" t="s">
        <v>2250</v>
      </c>
      <c r="F247" s="3" t="s">
        <v>2251</v>
      </c>
      <c r="G247" s="3" t="s">
        <v>1531</v>
      </c>
      <c r="H247" s="3" t="s">
        <v>1532</v>
      </c>
      <c r="I247" s="3" t="s">
        <v>1533</v>
      </c>
      <c r="J247" s="3" t="s">
        <v>1534</v>
      </c>
    </row>
    <row r="248" spans="1:10" ht="49.5" customHeight="1" x14ac:dyDescent="0.35">
      <c r="A248" s="28" t="s">
        <v>1054</v>
      </c>
      <c r="B248" s="3">
        <v>5</v>
      </c>
      <c r="C248" s="28" t="s">
        <v>217</v>
      </c>
      <c r="D248" s="28" t="s">
        <v>2252</v>
      </c>
      <c r="E248" s="3" t="s">
        <v>2253</v>
      </c>
      <c r="F248" s="3" t="s">
        <v>2254</v>
      </c>
      <c r="G248" s="3" t="s">
        <v>1538</v>
      </c>
      <c r="H248" s="3" t="s">
        <v>1539</v>
      </c>
      <c r="I248" s="3" t="s">
        <v>1540</v>
      </c>
      <c r="J248" s="3" t="s">
        <v>1541</v>
      </c>
    </row>
    <row r="249" spans="1:10" ht="49.5" customHeight="1" x14ac:dyDescent="0.35">
      <c r="A249" s="22" t="s">
        <v>1065</v>
      </c>
      <c r="B249" s="3">
        <v>0</v>
      </c>
      <c r="C249" s="22" t="s">
        <v>197</v>
      </c>
      <c r="D249" s="22" t="s">
        <v>2255</v>
      </c>
      <c r="E249" s="3" t="s">
        <v>2256</v>
      </c>
      <c r="F249" s="3" t="s">
        <v>2257</v>
      </c>
      <c r="G249" s="3" t="s">
        <v>1503</v>
      </c>
      <c r="H249" s="3" t="s">
        <v>2258</v>
      </c>
      <c r="I249" s="3" t="s">
        <v>1505</v>
      </c>
      <c r="J249" s="3" t="s">
        <v>2259</v>
      </c>
    </row>
    <row r="250" spans="1:10" ht="49.5" customHeight="1" x14ac:dyDescent="0.35">
      <c r="A250" s="24" t="s">
        <v>1065</v>
      </c>
      <c r="B250" s="3">
        <v>1</v>
      </c>
      <c r="C250" s="24" t="s">
        <v>201</v>
      </c>
      <c r="D250" s="24" t="s">
        <v>2260</v>
      </c>
      <c r="E250" s="3" t="s">
        <v>2261</v>
      </c>
      <c r="F250" s="3" t="s">
        <v>2262</v>
      </c>
      <c r="G250" s="3" t="s">
        <v>1510</v>
      </c>
      <c r="H250" s="3" t="s">
        <v>1511</v>
      </c>
      <c r="I250" s="3" t="s">
        <v>1512</v>
      </c>
      <c r="J250" s="3" t="s">
        <v>2263</v>
      </c>
    </row>
    <row r="251" spans="1:10" ht="49.5" customHeight="1" x14ac:dyDescent="0.35">
      <c r="A251" s="25" t="s">
        <v>1065</v>
      </c>
      <c r="B251" s="3">
        <v>2</v>
      </c>
      <c r="C251" s="25" t="s">
        <v>205</v>
      </c>
      <c r="D251" s="25" t="s">
        <v>2264</v>
      </c>
      <c r="E251" s="3" t="s">
        <v>2265</v>
      </c>
      <c r="F251" s="3" t="s">
        <v>2266</v>
      </c>
      <c r="G251" s="3" t="s">
        <v>1517</v>
      </c>
      <c r="H251" s="3" t="s">
        <v>1518</v>
      </c>
      <c r="I251" s="3" t="s">
        <v>1519</v>
      </c>
      <c r="J251" s="3" t="s">
        <v>1520</v>
      </c>
    </row>
    <row r="252" spans="1:10" ht="49.5" customHeight="1" x14ac:dyDescent="0.35">
      <c r="A252" s="26" t="s">
        <v>1065</v>
      </c>
      <c r="B252" s="23">
        <v>3</v>
      </c>
      <c r="C252" s="26" t="s">
        <v>209</v>
      </c>
      <c r="D252" s="26" t="s">
        <v>2267</v>
      </c>
      <c r="E252" s="23" t="s">
        <v>2268</v>
      </c>
      <c r="F252" s="23" t="s">
        <v>2269</v>
      </c>
      <c r="G252" s="23" t="s">
        <v>1524</v>
      </c>
      <c r="H252" s="23" t="s">
        <v>1525</v>
      </c>
      <c r="I252" s="23" t="s">
        <v>1526</v>
      </c>
      <c r="J252" s="23" t="s">
        <v>1527</v>
      </c>
    </row>
    <row r="253" spans="1:10" ht="49.5" customHeight="1" x14ac:dyDescent="0.35">
      <c r="A253" s="27" t="s">
        <v>1065</v>
      </c>
      <c r="B253" s="23">
        <v>4</v>
      </c>
      <c r="C253" s="27" t="s">
        <v>213</v>
      </c>
      <c r="D253" s="27" t="s">
        <v>2270</v>
      </c>
      <c r="E253" s="23" t="s">
        <v>2271</v>
      </c>
      <c r="F253" s="23" t="s">
        <v>2272</v>
      </c>
      <c r="G253" s="23" t="s">
        <v>1531</v>
      </c>
      <c r="H253" s="23" t="s">
        <v>1532</v>
      </c>
      <c r="I253" s="23" t="s">
        <v>1533</v>
      </c>
      <c r="J253" s="23" t="s">
        <v>1534</v>
      </c>
    </row>
    <row r="254" spans="1:10" ht="49.5" customHeight="1" x14ac:dyDescent="0.35">
      <c r="A254" s="28" t="s">
        <v>1065</v>
      </c>
      <c r="B254" s="23">
        <v>5</v>
      </c>
      <c r="C254" s="28" t="s">
        <v>217</v>
      </c>
      <c r="D254" s="28" t="s">
        <v>2273</v>
      </c>
      <c r="E254" s="23" t="s">
        <v>2274</v>
      </c>
      <c r="F254" s="23" t="s">
        <v>2275</v>
      </c>
      <c r="G254" s="23" t="s">
        <v>1538</v>
      </c>
      <c r="H254" s="23" t="s">
        <v>1539</v>
      </c>
      <c r="I254" s="23" t="s">
        <v>1540</v>
      </c>
      <c r="J254" s="23" t="s">
        <v>1541</v>
      </c>
    </row>
    <row r="255" spans="1:10" ht="49.5" customHeight="1" x14ac:dyDescent="0.35">
      <c r="A255" s="22" t="s">
        <v>1075</v>
      </c>
      <c r="B255" s="23">
        <v>0</v>
      </c>
      <c r="C255" s="22" t="s">
        <v>197</v>
      </c>
      <c r="D255" s="22" t="s">
        <v>2276</v>
      </c>
      <c r="E255" s="23" t="s">
        <v>2277</v>
      </c>
      <c r="F255" s="23" t="s">
        <v>2278</v>
      </c>
      <c r="G255" s="23" t="s">
        <v>1503</v>
      </c>
      <c r="H255" s="23" t="s">
        <v>2279</v>
      </c>
      <c r="I255" s="23" t="s">
        <v>1505</v>
      </c>
      <c r="J255" s="23" t="s">
        <v>2280</v>
      </c>
    </row>
    <row r="256" spans="1:10" ht="49.5" customHeight="1" x14ac:dyDescent="0.35">
      <c r="A256" s="24" t="s">
        <v>1075</v>
      </c>
      <c r="B256" s="23">
        <v>1</v>
      </c>
      <c r="C256" s="24" t="s">
        <v>201</v>
      </c>
      <c r="D256" s="24" t="s">
        <v>2281</v>
      </c>
      <c r="E256" s="23" t="s">
        <v>2282</v>
      </c>
      <c r="F256" s="23" t="s">
        <v>2283</v>
      </c>
      <c r="G256" s="23" t="s">
        <v>1510</v>
      </c>
      <c r="H256" s="23" t="s">
        <v>1511</v>
      </c>
      <c r="I256" s="23" t="s">
        <v>1512</v>
      </c>
      <c r="J256" s="23" t="s">
        <v>2284</v>
      </c>
    </row>
    <row r="257" spans="1:10" ht="49.5" customHeight="1" x14ac:dyDescent="0.35">
      <c r="A257" s="25" t="s">
        <v>1075</v>
      </c>
      <c r="B257" s="23">
        <v>2</v>
      </c>
      <c r="C257" s="25" t="s">
        <v>205</v>
      </c>
      <c r="D257" s="25" t="s">
        <v>2285</v>
      </c>
      <c r="E257" s="23" t="s">
        <v>2286</v>
      </c>
      <c r="F257" s="23" t="s">
        <v>2287</v>
      </c>
      <c r="G257" s="23" t="s">
        <v>1517</v>
      </c>
      <c r="H257" s="23" t="s">
        <v>1518</v>
      </c>
      <c r="I257" s="23" t="s">
        <v>1519</v>
      </c>
      <c r="J257" s="23" t="s">
        <v>1520</v>
      </c>
    </row>
    <row r="258" spans="1:10" ht="49.5" customHeight="1" x14ac:dyDescent="0.35">
      <c r="A258" s="26" t="s">
        <v>1075</v>
      </c>
      <c r="B258" s="3">
        <v>3</v>
      </c>
      <c r="C258" s="26" t="s">
        <v>209</v>
      </c>
      <c r="D258" s="26" t="s">
        <v>2288</v>
      </c>
      <c r="E258" s="3" t="s">
        <v>2289</v>
      </c>
      <c r="F258" s="3" t="s">
        <v>2290</v>
      </c>
      <c r="G258" s="3" t="s">
        <v>1524</v>
      </c>
      <c r="H258" s="3" t="s">
        <v>1525</v>
      </c>
      <c r="I258" s="3" t="s">
        <v>1526</v>
      </c>
      <c r="J258" s="3" t="s">
        <v>1527</v>
      </c>
    </row>
    <row r="259" spans="1:10" ht="49.5" customHeight="1" x14ac:dyDescent="0.35">
      <c r="A259" s="27" t="s">
        <v>1075</v>
      </c>
      <c r="B259" s="3">
        <v>4</v>
      </c>
      <c r="C259" s="27" t="s">
        <v>213</v>
      </c>
      <c r="D259" s="27" t="s">
        <v>2291</v>
      </c>
      <c r="E259" s="3" t="s">
        <v>2292</v>
      </c>
      <c r="F259" s="3" t="s">
        <v>2293</v>
      </c>
      <c r="G259" s="3" t="s">
        <v>1531</v>
      </c>
      <c r="H259" s="3" t="s">
        <v>1532</v>
      </c>
      <c r="I259" s="3" t="s">
        <v>1533</v>
      </c>
      <c r="J259" s="3" t="s">
        <v>1534</v>
      </c>
    </row>
    <row r="260" spans="1:10" ht="49.5" customHeight="1" x14ac:dyDescent="0.35">
      <c r="A260" s="28" t="s">
        <v>1075</v>
      </c>
      <c r="B260" s="3">
        <v>5</v>
      </c>
      <c r="C260" s="28" t="s">
        <v>217</v>
      </c>
      <c r="D260" s="28" t="s">
        <v>2294</v>
      </c>
      <c r="E260" s="3" t="s">
        <v>2295</v>
      </c>
      <c r="F260" s="3" t="s">
        <v>2296</v>
      </c>
      <c r="G260" s="3" t="s">
        <v>1538</v>
      </c>
      <c r="H260" s="3" t="s">
        <v>1539</v>
      </c>
      <c r="I260" s="3" t="s">
        <v>1540</v>
      </c>
      <c r="J260" s="3" t="s">
        <v>1541</v>
      </c>
    </row>
    <row r="261" spans="1:10" ht="49.5" customHeight="1" x14ac:dyDescent="0.35">
      <c r="A261" s="22" t="s">
        <v>1084</v>
      </c>
      <c r="B261" s="3">
        <v>0</v>
      </c>
      <c r="C261" s="22" t="s">
        <v>197</v>
      </c>
      <c r="D261" s="22" t="s">
        <v>2297</v>
      </c>
      <c r="E261" s="3" t="s">
        <v>2298</v>
      </c>
      <c r="F261" s="3" t="s">
        <v>2299</v>
      </c>
      <c r="G261" s="3" t="s">
        <v>1503</v>
      </c>
      <c r="H261" s="3" t="s">
        <v>2300</v>
      </c>
      <c r="I261" s="3" t="s">
        <v>1505</v>
      </c>
      <c r="J261" s="3" t="s">
        <v>2301</v>
      </c>
    </row>
    <row r="262" spans="1:10" ht="49.5" customHeight="1" x14ac:dyDescent="0.35">
      <c r="A262" s="24" t="s">
        <v>1084</v>
      </c>
      <c r="B262" s="3">
        <v>1</v>
      </c>
      <c r="C262" s="24" t="s">
        <v>201</v>
      </c>
      <c r="D262" s="24" t="s">
        <v>2302</v>
      </c>
      <c r="E262" s="3" t="s">
        <v>2303</v>
      </c>
      <c r="F262" s="3" t="s">
        <v>2304</v>
      </c>
      <c r="G262" s="3" t="s">
        <v>1510</v>
      </c>
      <c r="H262" s="3" t="s">
        <v>1511</v>
      </c>
      <c r="I262" s="3" t="s">
        <v>1512</v>
      </c>
      <c r="J262" s="3" t="s">
        <v>2305</v>
      </c>
    </row>
    <row r="263" spans="1:10" ht="49.5" customHeight="1" x14ac:dyDescent="0.35">
      <c r="A263" s="25" t="s">
        <v>1084</v>
      </c>
      <c r="B263" s="3">
        <v>2</v>
      </c>
      <c r="C263" s="25" t="s">
        <v>205</v>
      </c>
      <c r="D263" s="25" t="s">
        <v>2306</v>
      </c>
      <c r="E263" s="3" t="s">
        <v>2307</v>
      </c>
      <c r="F263" s="3" t="s">
        <v>2308</v>
      </c>
      <c r="G263" s="3" t="s">
        <v>1517</v>
      </c>
      <c r="H263" s="3" t="s">
        <v>1518</v>
      </c>
      <c r="I263" s="3" t="s">
        <v>1519</v>
      </c>
      <c r="J263" s="3" t="s">
        <v>1520</v>
      </c>
    </row>
    <row r="264" spans="1:10" ht="49.5" customHeight="1" x14ac:dyDescent="0.35">
      <c r="A264" s="26" t="s">
        <v>1084</v>
      </c>
      <c r="B264" s="23">
        <v>3</v>
      </c>
      <c r="C264" s="26" t="s">
        <v>209</v>
      </c>
      <c r="D264" s="26" t="s">
        <v>2309</v>
      </c>
      <c r="E264" s="23" t="s">
        <v>2310</v>
      </c>
      <c r="F264" s="23" t="s">
        <v>2311</v>
      </c>
      <c r="G264" s="23" t="s">
        <v>1524</v>
      </c>
      <c r="H264" s="23" t="s">
        <v>1525</v>
      </c>
      <c r="I264" s="23" t="s">
        <v>1526</v>
      </c>
      <c r="J264" s="23" t="s">
        <v>1527</v>
      </c>
    </row>
    <row r="265" spans="1:10" ht="49.5" customHeight="1" x14ac:dyDescent="0.35">
      <c r="A265" s="27" t="s">
        <v>1084</v>
      </c>
      <c r="B265" s="23">
        <v>4</v>
      </c>
      <c r="C265" s="27" t="s">
        <v>213</v>
      </c>
      <c r="D265" s="27" t="s">
        <v>2312</v>
      </c>
      <c r="E265" s="23" t="s">
        <v>2313</v>
      </c>
      <c r="F265" s="23" t="s">
        <v>2314</v>
      </c>
      <c r="G265" s="23" t="s">
        <v>1531</v>
      </c>
      <c r="H265" s="23" t="s">
        <v>1532</v>
      </c>
      <c r="I265" s="23" t="s">
        <v>1533</v>
      </c>
      <c r="J265" s="23" t="s">
        <v>1534</v>
      </c>
    </row>
    <row r="266" spans="1:10" ht="49.5" customHeight="1" x14ac:dyDescent="0.35">
      <c r="A266" s="28" t="s">
        <v>1084</v>
      </c>
      <c r="B266" s="23">
        <v>5</v>
      </c>
      <c r="C266" s="28" t="s">
        <v>217</v>
      </c>
      <c r="D266" s="28" t="s">
        <v>2315</v>
      </c>
      <c r="E266" s="23" t="s">
        <v>2316</v>
      </c>
      <c r="F266" s="23" t="s">
        <v>2317</v>
      </c>
      <c r="G266" s="23" t="s">
        <v>1538</v>
      </c>
      <c r="H266" s="23" t="s">
        <v>1539</v>
      </c>
      <c r="I266" s="23" t="s">
        <v>1540</v>
      </c>
      <c r="J266" s="23" t="s">
        <v>1541</v>
      </c>
    </row>
    <row r="267" spans="1:10" ht="49.5" customHeight="1" x14ac:dyDescent="0.35">
      <c r="A267" s="22" t="s">
        <v>1095</v>
      </c>
      <c r="B267" s="23">
        <v>0</v>
      </c>
      <c r="C267" s="22" t="s">
        <v>197</v>
      </c>
      <c r="D267" s="22" t="s">
        <v>2318</v>
      </c>
      <c r="E267" s="23" t="s">
        <v>2319</v>
      </c>
      <c r="F267" s="23" t="s">
        <v>2320</v>
      </c>
      <c r="G267" s="23" t="s">
        <v>1503</v>
      </c>
      <c r="H267" s="23" t="s">
        <v>2321</v>
      </c>
      <c r="I267" s="23" t="s">
        <v>1505</v>
      </c>
      <c r="J267" s="23" t="s">
        <v>2322</v>
      </c>
    </row>
    <row r="268" spans="1:10" ht="49.5" customHeight="1" x14ac:dyDescent="0.35">
      <c r="A268" s="24" t="s">
        <v>1095</v>
      </c>
      <c r="B268" s="23">
        <v>1</v>
      </c>
      <c r="C268" s="24" t="s">
        <v>201</v>
      </c>
      <c r="D268" s="24" t="s">
        <v>2323</v>
      </c>
      <c r="E268" s="23" t="s">
        <v>2324</v>
      </c>
      <c r="F268" s="23" t="s">
        <v>2325</v>
      </c>
      <c r="G268" s="23" t="s">
        <v>1510</v>
      </c>
      <c r="H268" s="23" t="s">
        <v>1511</v>
      </c>
      <c r="I268" s="23" t="s">
        <v>1512</v>
      </c>
      <c r="J268" s="23" t="s">
        <v>2326</v>
      </c>
    </row>
    <row r="269" spans="1:10" ht="49.5" customHeight="1" x14ac:dyDescent="0.35">
      <c r="A269" s="25" t="s">
        <v>1095</v>
      </c>
      <c r="B269" s="23">
        <v>2</v>
      </c>
      <c r="C269" s="25" t="s">
        <v>205</v>
      </c>
      <c r="D269" s="25" t="s">
        <v>2327</v>
      </c>
      <c r="E269" s="23" t="s">
        <v>2328</v>
      </c>
      <c r="F269" s="23" t="s">
        <v>2329</v>
      </c>
      <c r="G269" s="23" t="s">
        <v>1517</v>
      </c>
      <c r="H269" s="23" t="s">
        <v>1518</v>
      </c>
      <c r="I269" s="23" t="s">
        <v>1519</v>
      </c>
      <c r="J269" s="23" t="s">
        <v>1520</v>
      </c>
    </row>
    <row r="270" spans="1:10" ht="49.5" customHeight="1" x14ac:dyDescent="0.35">
      <c r="A270" s="26" t="s">
        <v>1095</v>
      </c>
      <c r="B270" s="3">
        <v>3</v>
      </c>
      <c r="C270" s="26" t="s">
        <v>209</v>
      </c>
      <c r="D270" s="26" t="s">
        <v>2330</v>
      </c>
      <c r="E270" s="3" t="s">
        <v>2331</v>
      </c>
      <c r="F270" s="3" t="s">
        <v>2332</v>
      </c>
      <c r="G270" s="3" t="s">
        <v>1524</v>
      </c>
      <c r="H270" s="3" t="s">
        <v>1525</v>
      </c>
      <c r="I270" s="3" t="s">
        <v>1526</v>
      </c>
      <c r="J270" s="3" t="s">
        <v>1527</v>
      </c>
    </row>
    <row r="271" spans="1:10" ht="49.5" customHeight="1" x14ac:dyDescent="0.35">
      <c r="A271" s="27" t="s">
        <v>1095</v>
      </c>
      <c r="B271" s="3">
        <v>4</v>
      </c>
      <c r="C271" s="27" t="s">
        <v>213</v>
      </c>
      <c r="D271" s="27" t="s">
        <v>2333</v>
      </c>
      <c r="E271" s="3" t="s">
        <v>2334</v>
      </c>
      <c r="F271" s="3" t="s">
        <v>2335</v>
      </c>
      <c r="G271" s="3" t="s">
        <v>1531</v>
      </c>
      <c r="H271" s="3" t="s">
        <v>1532</v>
      </c>
      <c r="I271" s="3" t="s">
        <v>1533</v>
      </c>
      <c r="J271" s="3" t="s">
        <v>1534</v>
      </c>
    </row>
    <row r="272" spans="1:10" ht="49.5" customHeight="1" x14ac:dyDescent="0.35">
      <c r="A272" s="28" t="s">
        <v>1095</v>
      </c>
      <c r="B272" s="3">
        <v>5</v>
      </c>
      <c r="C272" s="28" t="s">
        <v>217</v>
      </c>
      <c r="D272" s="28" t="s">
        <v>2336</v>
      </c>
      <c r="E272" s="3" t="s">
        <v>2337</v>
      </c>
      <c r="F272" s="3" t="s">
        <v>2338</v>
      </c>
      <c r="G272" s="3" t="s">
        <v>1538</v>
      </c>
      <c r="H272" s="3" t="s">
        <v>1539</v>
      </c>
      <c r="I272" s="3" t="s">
        <v>1540</v>
      </c>
      <c r="J272" s="3" t="s">
        <v>1541</v>
      </c>
    </row>
    <row r="273" spans="1:10" ht="49.5" customHeight="1" x14ac:dyDescent="0.35">
      <c r="A273" s="22" t="s">
        <v>1104</v>
      </c>
      <c r="B273" s="3">
        <v>0</v>
      </c>
      <c r="C273" s="22" t="s">
        <v>197</v>
      </c>
      <c r="D273" s="22" t="s">
        <v>2339</v>
      </c>
      <c r="E273" s="3" t="s">
        <v>2340</v>
      </c>
      <c r="F273" s="3" t="s">
        <v>2341</v>
      </c>
      <c r="G273" s="3" t="s">
        <v>1503</v>
      </c>
      <c r="H273" s="3" t="s">
        <v>2342</v>
      </c>
      <c r="I273" s="3" t="s">
        <v>1505</v>
      </c>
      <c r="J273" s="3" t="s">
        <v>2343</v>
      </c>
    </row>
    <row r="274" spans="1:10" ht="49.5" customHeight="1" x14ac:dyDescent="0.35">
      <c r="A274" s="24" t="s">
        <v>1104</v>
      </c>
      <c r="B274" s="3">
        <v>1</v>
      </c>
      <c r="C274" s="24" t="s">
        <v>201</v>
      </c>
      <c r="D274" s="24" t="s">
        <v>2344</v>
      </c>
      <c r="E274" s="3" t="s">
        <v>2345</v>
      </c>
      <c r="F274" s="3" t="s">
        <v>2346</v>
      </c>
      <c r="G274" s="3" t="s">
        <v>1510</v>
      </c>
      <c r="H274" s="3" t="s">
        <v>1511</v>
      </c>
      <c r="I274" s="3" t="s">
        <v>1512</v>
      </c>
      <c r="J274" s="3" t="s">
        <v>2347</v>
      </c>
    </row>
    <row r="275" spans="1:10" ht="49.5" customHeight="1" x14ac:dyDescent="0.35">
      <c r="A275" s="25" t="s">
        <v>1104</v>
      </c>
      <c r="B275" s="3">
        <v>2</v>
      </c>
      <c r="C275" s="25" t="s">
        <v>205</v>
      </c>
      <c r="D275" s="25" t="s">
        <v>2348</v>
      </c>
      <c r="E275" s="3" t="s">
        <v>2349</v>
      </c>
      <c r="F275" s="3" t="s">
        <v>2350</v>
      </c>
      <c r="G275" s="3" t="s">
        <v>1517</v>
      </c>
      <c r="H275" s="3" t="s">
        <v>1518</v>
      </c>
      <c r="I275" s="3" t="s">
        <v>1519</v>
      </c>
      <c r="J275" s="3" t="s">
        <v>1520</v>
      </c>
    </row>
    <row r="276" spans="1:10" ht="49.5" customHeight="1" x14ac:dyDescent="0.35">
      <c r="A276" s="26" t="s">
        <v>1104</v>
      </c>
      <c r="B276" s="23">
        <v>3</v>
      </c>
      <c r="C276" s="26" t="s">
        <v>209</v>
      </c>
      <c r="D276" s="26" t="s">
        <v>2351</v>
      </c>
      <c r="E276" s="23" t="s">
        <v>2352</v>
      </c>
      <c r="F276" s="23" t="s">
        <v>2353</v>
      </c>
      <c r="G276" s="23" t="s">
        <v>1524</v>
      </c>
      <c r="H276" s="23" t="s">
        <v>1525</v>
      </c>
      <c r="I276" s="23" t="s">
        <v>1526</v>
      </c>
      <c r="J276" s="23" t="s">
        <v>1527</v>
      </c>
    </row>
    <row r="277" spans="1:10" ht="49.5" customHeight="1" x14ac:dyDescent="0.35">
      <c r="A277" s="27" t="s">
        <v>1104</v>
      </c>
      <c r="B277" s="23">
        <v>4</v>
      </c>
      <c r="C277" s="27" t="s">
        <v>213</v>
      </c>
      <c r="D277" s="27" t="s">
        <v>2354</v>
      </c>
      <c r="E277" s="23" t="s">
        <v>2355</v>
      </c>
      <c r="F277" s="23" t="s">
        <v>2356</v>
      </c>
      <c r="G277" s="23" t="s">
        <v>1531</v>
      </c>
      <c r="H277" s="23" t="s">
        <v>1532</v>
      </c>
      <c r="I277" s="23" t="s">
        <v>1533</v>
      </c>
      <c r="J277" s="23" t="s">
        <v>1534</v>
      </c>
    </row>
    <row r="278" spans="1:10" ht="49.5" customHeight="1" x14ac:dyDescent="0.35">
      <c r="A278" s="28" t="s">
        <v>1104</v>
      </c>
      <c r="B278" s="23">
        <v>5</v>
      </c>
      <c r="C278" s="28" t="s">
        <v>217</v>
      </c>
      <c r="D278" s="28" t="s">
        <v>2357</v>
      </c>
      <c r="E278" s="23" t="s">
        <v>2358</v>
      </c>
      <c r="F278" s="23" t="s">
        <v>2359</v>
      </c>
      <c r="G278" s="23" t="s">
        <v>1538</v>
      </c>
      <c r="H278" s="23" t="s">
        <v>1539</v>
      </c>
      <c r="I278" s="23" t="s">
        <v>1540</v>
      </c>
      <c r="J278" s="23" t="s">
        <v>1541</v>
      </c>
    </row>
    <row r="279" spans="1:10" ht="49.5" customHeight="1" x14ac:dyDescent="0.35">
      <c r="A279" s="22" t="s">
        <v>1114</v>
      </c>
      <c r="B279" s="23">
        <v>0</v>
      </c>
      <c r="C279" s="22" t="s">
        <v>197</v>
      </c>
      <c r="D279" s="22" t="s">
        <v>2360</v>
      </c>
      <c r="E279" s="23" t="s">
        <v>2361</v>
      </c>
      <c r="F279" s="23" t="s">
        <v>2362</v>
      </c>
      <c r="G279" s="23" t="s">
        <v>1503</v>
      </c>
      <c r="H279" s="23" t="s">
        <v>2363</v>
      </c>
      <c r="I279" s="23" t="s">
        <v>1505</v>
      </c>
      <c r="J279" s="23" t="s">
        <v>2364</v>
      </c>
    </row>
    <row r="280" spans="1:10" ht="49.5" customHeight="1" x14ac:dyDescent="0.35">
      <c r="A280" s="24" t="s">
        <v>1114</v>
      </c>
      <c r="B280" s="23">
        <v>1</v>
      </c>
      <c r="C280" s="24" t="s">
        <v>201</v>
      </c>
      <c r="D280" s="24" t="s">
        <v>2365</v>
      </c>
      <c r="E280" s="23" t="s">
        <v>2366</v>
      </c>
      <c r="F280" s="23" t="s">
        <v>2367</v>
      </c>
      <c r="G280" s="23" t="s">
        <v>1510</v>
      </c>
      <c r="H280" s="23" t="s">
        <v>1511</v>
      </c>
      <c r="I280" s="23" t="s">
        <v>1512</v>
      </c>
      <c r="J280" s="23" t="s">
        <v>2368</v>
      </c>
    </row>
    <row r="281" spans="1:10" ht="49.5" customHeight="1" x14ac:dyDescent="0.35">
      <c r="A281" s="25" t="s">
        <v>1114</v>
      </c>
      <c r="B281" s="23">
        <v>2</v>
      </c>
      <c r="C281" s="25" t="s">
        <v>205</v>
      </c>
      <c r="D281" s="25" t="s">
        <v>2369</v>
      </c>
      <c r="E281" s="23" t="s">
        <v>2370</v>
      </c>
      <c r="F281" s="23" t="s">
        <v>2371</v>
      </c>
      <c r="G281" s="23" t="s">
        <v>1517</v>
      </c>
      <c r="H281" s="23" t="s">
        <v>1518</v>
      </c>
      <c r="I281" s="23" t="s">
        <v>1519</v>
      </c>
      <c r="J281" s="23" t="s">
        <v>1520</v>
      </c>
    </row>
    <row r="282" spans="1:10" ht="49.5" customHeight="1" x14ac:dyDescent="0.35">
      <c r="A282" s="26" t="s">
        <v>1114</v>
      </c>
      <c r="B282" s="3">
        <v>3</v>
      </c>
      <c r="C282" s="26" t="s">
        <v>209</v>
      </c>
      <c r="D282" s="26" t="s">
        <v>2372</v>
      </c>
      <c r="E282" s="3" t="s">
        <v>2373</v>
      </c>
      <c r="F282" s="3" t="s">
        <v>2374</v>
      </c>
      <c r="G282" s="3" t="s">
        <v>1524</v>
      </c>
      <c r="H282" s="3" t="s">
        <v>1525</v>
      </c>
      <c r="I282" s="3" t="s">
        <v>1526</v>
      </c>
      <c r="J282" s="3" t="s">
        <v>1527</v>
      </c>
    </row>
    <row r="283" spans="1:10" ht="49.5" customHeight="1" x14ac:dyDescent="0.35">
      <c r="A283" s="27" t="s">
        <v>1114</v>
      </c>
      <c r="B283" s="3">
        <v>4</v>
      </c>
      <c r="C283" s="27" t="s">
        <v>213</v>
      </c>
      <c r="D283" s="27" t="s">
        <v>2375</v>
      </c>
      <c r="E283" s="3" t="s">
        <v>2376</v>
      </c>
      <c r="F283" s="3" t="s">
        <v>2377</v>
      </c>
      <c r="G283" s="3" t="s">
        <v>1531</v>
      </c>
      <c r="H283" s="3" t="s">
        <v>1532</v>
      </c>
      <c r="I283" s="3" t="s">
        <v>1533</v>
      </c>
      <c r="J283" s="3" t="s">
        <v>1534</v>
      </c>
    </row>
    <row r="284" spans="1:10" ht="49.5" customHeight="1" x14ac:dyDescent="0.35">
      <c r="A284" s="28" t="s">
        <v>1114</v>
      </c>
      <c r="B284" s="3">
        <v>5</v>
      </c>
      <c r="C284" s="28" t="s">
        <v>217</v>
      </c>
      <c r="D284" s="28" t="s">
        <v>2378</v>
      </c>
      <c r="E284" s="3" t="s">
        <v>2379</v>
      </c>
      <c r="F284" s="3" t="s">
        <v>2380</v>
      </c>
      <c r="G284" s="3" t="s">
        <v>1538</v>
      </c>
      <c r="H284" s="3" t="s">
        <v>1539</v>
      </c>
      <c r="I284" s="3" t="s">
        <v>1540</v>
      </c>
      <c r="J284" s="3" t="s">
        <v>1541</v>
      </c>
    </row>
    <row r="285" spans="1:10" ht="49.5" customHeight="1" x14ac:dyDescent="0.35">
      <c r="A285" s="22" t="s">
        <v>1123</v>
      </c>
      <c r="B285" s="3">
        <v>0</v>
      </c>
      <c r="C285" s="22" t="s">
        <v>197</v>
      </c>
      <c r="D285" s="22" t="s">
        <v>2381</v>
      </c>
      <c r="E285" s="3" t="s">
        <v>2382</v>
      </c>
      <c r="F285" s="3" t="s">
        <v>2383</v>
      </c>
      <c r="G285" s="3" t="s">
        <v>1503</v>
      </c>
      <c r="H285" s="3" t="s">
        <v>2384</v>
      </c>
      <c r="I285" s="3" t="s">
        <v>1505</v>
      </c>
      <c r="J285" s="3" t="s">
        <v>2385</v>
      </c>
    </row>
    <row r="286" spans="1:10" ht="49.5" customHeight="1" x14ac:dyDescent="0.35">
      <c r="A286" s="24" t="s">
        <v>1123</v>
      </c>
      <c r="B286" s="3">
        <v>1</v>
      </c>
      <c r="C286" s="24" t="s">
        <v>201</v>
      </c>
      <c r="D286" s="24" t="s">
        <v>2386</v>
      </c>
      <c r="E286" s="3" t="s">
        <v>2387</v>
      </c>
      <c r="F286" s="3" t="s">
        <v>2388</v>
      </c>
      <c r="G286" s="3" t="s">
        <v>1510</v>
      </c>
      <c r="H286" s="3" t="s">
        <v>1511</v>
      </c>
      <c r="I286" s="3" t="s">
        <v>1512</v>
      </c>
      <c r="J286" s="3" t="s">
        <v>2389</v>
      </c>
    </row>
    <row r="287" spans="1:10" ht="49.5" customHeight="1" x14ac:dyDescent="0.35">
      <c r="A287" s="25" t="s">
        <v>1123</v>
      </c>
      <c r="B287" s="3">
        <v>2</v>
      </c>
      <c r="C287" s="25" t="s">
        <v>205</v>
      </c>
      <c r="D287" s="25" t="s">
        <v>2390</v>
      </c>
      <c r="E287" s="3" t="s">
        <v>2391</v>
      </c>
      <c r="F287" s="3" t="s">
        <v>2392</v>
      </c>
      <c r="G287" s="3" t="s">
        <v>1517</v>
      </c>
      <c r="H287" s="3" t="s">
        <v>1518</v>
      </c>
      <c r="I287" s="3" t="s">
        <v>1519</v>
      </c>
      <c r="J287" s="3" t="s">
        <v>1520</v>
      </c>
    </row>
    <row r="288" spans="1:10" ht="49.5" customHeight="1" x14ac:dyDescent="0.35">
      <c r="A288" s="26" t="s">
        <v>1123</v>
      </c>
      <c r="B288" s="23">
        <v>3</v>
      </c>
      <c r="C288" s="26" t="s">
        <v>209</v>
      </c>
      <c r="D288" s="26" t="s">
        <v>2393</v>
      </c>
      <c r="E288" s="23" t="s">
        <v>2394</v>
      </c>
      <c r="F288" s="23" t="s">
        <v>2395</v>
      </c>
      <c r="G288" s="23" t="s">
        <v>1524</v>
      </c>
      <c r="H288" s="23" t="s">
        <v>1525</v>
      </c>
      <c r="I288" s="23" t="s">
        <v>1526</v>
      </c>
      <c r="J288" s="23" t="s">
        <v>1527</v>
      </c>
    </row>
    <row r="289" spans="1:10" ht="49.5" customHeight="1" x14ac:dyDescent="0.35">
      <c r="A289" s="27" t="s">
        <v>1123</v>
      </c>
      <c r="B289" s="23">
        <v>4</v>
      </c>
      <c r="C289" s="27" t="s">
        <v>213</v>
      </c>
      <c r="D289" s="27" t="s">
        <v>2396</v>
      </c>
      <c r="E289" s="23" t="s">
        <v>2397</v>
      </c>
      <c r="F289" s="23" t="s">
        <v>2398</v>
      </c>
      <c r="G289" s="23" t="s">
        <v>1531</v>
      </c>
      <c r="H289" s="23" t="s">
        <v>1532</v>
      </c>
      <c r="I289" s="23" t="s">
        <v>1533</v>
      </c>
      <c r="J289" s="23" t="s">
        <v>1534</v>
      </c>
    </row>
    <row r="290" spans="1:10" ht="49.5" customHeight="1" x14ac:dyDescent="0.35">
      <c r="A290" s="28" t="s">
        <v>1123</v>
      </c>
      <c r="B290" s="23">
        <v>5</v>
      </c>
      <c r="C290" s="28" t="s">
        <v>217</v>
      </c>
      <c r="D290" s="28" t="s">
        <v>2399</v>
      </c>
      <c r="E290" s="23" t="s">
        <v>2400</v>
      </c>
      <c r="F290" s="23" t="s">
        <v>2401</v>
      </c>
      <c r="G290" s="23" t="s">
        <v>1538</v>
      </c>
      <c r="H290" s="23" t="s">
        <v>1539</v>
      </c>
      <c r="I290" s="23" t="s">
        <v>1540</v>
      </c>
      <c r="J290" s="23" t="s">
        <v>1541</v>
      </c>
    </row>
    <row r="291" spans="1:10" ht="49.5" customHeight="1" x14ac:dyDescent="0.35">
      <c r="A291" s="22" t="s">
        <v>1133</v>
      </c>
      <c r="B291" s="23">
        <v>0</v>
      </c>
      <c r="C291" s="22" t="s">
        <v>197</v>
      </c>
      <c r="D291" s="22" t="s">
        <v>2402</v>
      </c>
      <c r="E291" s="23" t="s">
        <v>2403</v>
      </c>
      <c r="F291" s="23" t="s">
        <v>2404</v>
      </c>
      <c r="G291" s="23" t="s">
        <v>1503</v>
      </c>
      <c r="H291" s="23" t="s">
        <v>2405</v>
      </c>
      <c r="I291" s="23" t="s">
        <v>1505</v>
      </c>
      <c r="J291" s="23" t="s">
        <v>2406</v>
      </c>
    </row>
    <row r="292" spans="1:10" ht="49.5" customHeight="1" x14ac:dyDescent="0.35">
      <c r="A292" s="24" t="s">
        <v>1133</v>
      </c>
      <c r="B292" s="23">
        <v>1</v>
      </c>
      <c r="C292" s="24" t="s">
        <v>201</v>
      </c>
      <c r="D292" s="24" t="s">
        <v>2407</v>
      </c>
      <c r="E292" s="23" t="s">
        <v>2408</v>
      </c>
      <c r="F292" s="23" t="s">
        <v>2409</v>
      </c>
      <c r="G292" s="23" t="s">
        <v>1510</v>
      </c>
      <c r="H292" s="23" t="s">
        <v>1511</v>
      </c>
      <c r="I292" s="23" t="s">
        <v>1512</v>
      </c>
      <c r="J292" s="23" t="s">
        <v>2410</v>
      </c>
    </row>
    <row r="293" spans="1:10" ht="49.5" customHeight="1" x14ac:dyDescent="0.35">
      <c r="A293" s="25" t="s">
        <v>1133</v>
      </c>
      <c r="B293" s="23">
        <v>2</v>
      </c>
      <c r="C293" s="25" t="s">
        <v>205</v>
      </c>
      <c r="D293" s="25" t="s">
        <v>2411</v>
      </c>
      <c r="E293" s="23" t="s">
        <v>2412</v>
      </c>
      <c r="F293" s="23" t="s">
        <v>2413</v>
      </c>
      <c r="G293" s="23" t="s">
        <v>1517</v>
      </c>
      <c r="H293" s="23" t="s">
        <v>1518</v>
      </c>
      <c r="I293" s="23" t="s">
        <v>1519</v>
      </c>
      <c r="J293" s="23" t="s">
        <v>1520</v>
      </c>
    </row>
    <row r="294" spans="1:10" ht="49.5" customHeight="1" x14ac:dyDescent="0.35">
      <c r="A294" s="26" t="s">
        <v>1133</v>
      </c>
      <c r="B294" s="3">
        <v>3</v>
      </c>
      <c r="C294" s="26" t="s">
        <v>209</v>
      </c>
      <c r="D294" s="26" t="s">
        <v>2414</v>
      </c>
      <c r="E294" s="3" t="s">
        <v>2415</v>
      </c>
      <c r="F294" s="3" t="s">
        <v>2416</v>
      </c>
      <c r="G294" s="3" t="s">
        <v>1524</v>
      </c>
      <c r="H294" s="3" t="s">
        <v>1525</v>
      </c>
      <c r="I294" s="3" t="s">
        <v>1526</v>
      </c>
      <c r="J294" s="3" t="s">
        <v>1527</v>
      </c>
    </row>
    <row r="295" spans="1:10" ht="49.5" customHeight="1" x14ac:dyDescent="0.35">
      <c r="A295" s="27" t="s">
        <v>1133</v>
      </c>
      <c r="B295" s="3">
        <v>4</v>
      </c>
      <c r="C295" s="27" t="s">
        <v>213</v>
      </c>
      <c r="D295" s="27" t="s">
        <v>2417</v>
      </c>
      <c r="E295" s="3" t="s">
        <v>2418</v>
      </c>
      <c r="F295" s="3" t="s">
        <v>2419</v>
      </c>
      <c r="G295" s="3" t="s">
        <v>1531</v>
      </c>
      <c r="H295" s="3" t="s">
        <v>1532</v>
      </c>
      <c r="I295" s="3" t="s">
        <v>1533</v>
      </c>
      <c r="J295" s="3" t="s">
        <v>1534</v>
      </c>
    </row>
    <row r="296" spans="1:10" ht="49.5" customHeight="1" x14ac:dyDescent="0.35">
      <c r="A296" s="28" t="s">
        <v>1133</v>
      </c>
      <c r="B296" s="3">
        <v>5</v>
      </c>
      <c r="C296" s="28" t="s">
        <v>217</v>
      </c>
      <c r="D296" s="28" t="s">
        <v>2420</v>
      </c>
      <c r="E296" s="3" t="s">
        <v>2421</v>
      </c>
      <c r="F296" s="3" t="s">
        <v>2422</v>
      </c>
      <c r="G296" s="3" t="s">
        <v>1538</v>
      </c>
      <c r="H296" s="3" t="s">
        <v>1539</v>
      </c>
      <c r="I296" s="3" t="s">
        <v>1540</v>
      </c>
      <c r="J296" s="3" t="s">
        <v>1541</v>
      </c>
    </row>
    <row r="297" spans="1:10" ht="49.5" customHeight="1" x14ac:dyDescent="0.35">
      <c r="A297" s="22" t="s">
        <v>1142</v>
      </c>
      <c r="B297" s="3">
        <v>0</v>
      </c>
      <c r="C297" s="22" t="s">
        <v>197</v>
      </c>
      <c r="D297" s="22" t="s">
        <v>2423</v>
      </c>
      <c r="E297" s="3" t="s">
        <v>2424</v>
      </c>
      <c r="F297" s="3" t="s">
        <v>2425</v>
      </c>
      <c r="G297" s="3" t="s">
        <v>1503</v>
      </c>
      <c r="H297" s="3" t="s">
        <v>2426</v>
      </c>
      <c r="I297" s="3" t="s">
        <v>1505</v>
      </c>
      <c r="J297" s="3" t="s">
        <v>2427</v>
      </c>
    </row>
    <row r="298" spans="1:10" ht="49.5" customHeight="1" x14ac:dyDescent="0.35">
      <c r="A298" s="24" t="s">
        <v>1142</v>
      </c>
      <c r="B298" s="3">
        <v>1</v>
      </c>
      <c r="C298" s="24" t="s">
        <v>201</v>
      </c>
      <c r="D298" s="24" t="s">
        <v>2428</v>
      </c>
      <c r="E298" s="3" t="s">
        <v>2429</v>
      </c>
      <c r="F298" s="3" t="s">
        <v>2430</v>
      </c>
      <c r="G298" s="3" t="s">
        <v>1510</v>
      </c>
      <c r="H298" s="3" t="s">
        <v>1511</v>
      </c>
      <c r="I298" s="3" t="s">
        <v>1512</v>
      </c>
      <c r="J298" s="3" t="s">
        <v>2431</v>
      </c>
    </row>
    <row r="299" spans="1:10" ht="49.5" customHeight="1" x14ac:dyDescent="0.35">
      <c r="A299" s="25" t="s">
        <v>1142</v>
      </c>
      <c r="B299" s="3">
        <v>2</v>
      </c>
      <c r="C299" s="25" t="s">
        <v>205</v>
      </c>
      <c r="D299" s="25" t="s">
        <v>2432</v>
      </c>
      <c r="E299" s="3" t="s">
        <v>2433</v>
      </c>
      <c r="F299" s="3" t="s">
        <v>2434</v>
      </c>
      <c r="G299" s="3" t="s">
        <v>1517</v>
      </c>
      <c r="H299" s="3" t="s">
        <v>1518</v>
      </c>
      <c r="I299" s="3" t="s">
        <v>1519</v>
      </c>
      <c r="J299" s="3" t="s">
        <v>1520</v>
      </c>
    </row>
    <row r="300" spans="1:10" ht="49.5" customHeight="1" x14ac:dyDescent="0.35">
      <c r="A300" s="26" t="s">
        <v>1142</v>
      </c>
      <c r="B300" s="23">
        <v>3</v>
      </c>
      <c r="C300" s="26" t="s">
        <v>209</v>
      </c>
      <c r="D300" s="26" t="s">
        <v>2435</v>
      </c>
      <c r="E300" s="23" t="s">
        <v>2436</v>
      </c>
      <c r="F300" s="23" t="s">
        <v>2437</v>
      </c>
      <c r="G300" s="23" t="s">
        <v>1524</v>
      </c>
      <c r="H300" s="23" t="s">
        <v>1525</v>
      </c>
      <c r="I300" s="23" t="s">
        <v>1526</v>
      </c>
      <c r="J300" s="23" t="s">
        <v>1527</v>
      </c>
    </row>
    <row r="301" spans="1:10" ht="49.5" customHeight="1" x14ac:dyDescent="0.35">
      <c r="A301" s="27" t="s">
        <v>1142</v>
      </c>
      <c r="B301" s="23">
        <v>4</v>
      </c>
      <c r="C301" s="27" t="s">
        <v>213</v>
      </c>
      <c r="D301" s="27" t="s">
        <v>2438</v>
      </c>
      <c r="E301" s="23" t="s">
        <v>2439</v>
      </c>
      <c r="F301" s="23" t="s">
        <v>2440</v>
      </c>
      <c r="G301" s="23" t="s">
        <v>1531</v>
      </c>
      <c r="H301" s="23" t="s">
        <v>1532</v>
      </c>
      <c r="I301" s="23" t="s">
        <v>1533</v>
      </c>
      <c r="J301" s="23" t="s">
        <v>1534</v>
      </c>
    </row>
    <row r="302" spans="1:10" ht="49.5" customHeight="1" x14ac:dyDescent="0.35">
      <c r="A302" s="28" t="s">
        <v>1142</v>
      </c>
      <c r="B302" s="23">
        <v>5</v>
      </c>
      <c r="C302" s="28" t="s">
        <v>217</v>
      </c>
      <c r="D302" s="28" t="s">
        <v>2441</v>
      </c>
      <c r="E302" s="23" t="s">
        <v>2442</v>
      </c>
      <c r="F302" s="23" t="s">
        <v>2443</v>
      </c>
      <c r="G302" s="23" t="s">
        <v>1538</v>
      </c>
      <c r="H302" s="23" t="s">
        <v>1539</v>
      </c>
      <c r="I302" s="23" t="s">
        <v>1540</v>
      </c>
      <c r="J302" s="23" t="s">
        <v>1541</v>
      </c>
    </row>
    <row r="303" spans="1:10" ht="49.5" customHeight="1" x14ac:dyDescent="0.35">
      <c r="A303" s="22" t="s">
        <v>1151</v>
      </c>
      <c r="B303" s="23">
        <v>0</v>
      </c>
      <c r="C303" s="22" t="s">
        <v>197</v>
      </c>
      <c r="D303" s="22" t="s">
        <v>2444</v>
      </c>
      <c r="E303" s="23" t="s">
        <v>2445</v>
      </c>
      <c r="F303" s="23" t="s">
        <v>2446</v>
      </c>
      <c r="G303" s="23" t="s">
        <v>1503</v>
      </c>
      <c r="H303" s="23" t="s">
        <v>2447</v>
      </c>
      <c r="I303" s="23" t="s">
        <v>1505</v>
      </c>
      <c r="J303" s="23" t="s">
        <v>2448</v>
      </c>
    </row>
    <row r="304" spans="1:10" ht="49.5" customHeight="1" x14ac:dyDescent="0.35">
      <c r="A304" s="24" t="s">
        <v>1151</v>
      </c>
      <c r="B304" s="23">
        <v>1</v>
      </c>
      <c r="C304" s="24" t="s">
        <v>201</v>
      </c>
      <c r="D304" s="24" t="s">
        <v>2449</v>
      </c>
      <c r="E304" s="23" t="s">
        <v>2450</v>
      </c>
      <c r="F304" s="23" t="s">
        <v>2451</v>
      </c>
      <c r="G304" s="23" t="s">
        <v>1510</v>
      </c>
      <c r="H304" s="23" t="s">
        <v>1511</v>
      </c>
      <c r="I304" s="23" t="s">
        <v>1512</v>
      </c>
      <c r="J304" s="23" t="s">
        <v>2452</v>
      </c>
    </row>
    <row r="305" spans="1:10" ht="49.5" customHeight="1" x14ac:dyDescent="0.35">
      <c r="A305" s="25" t="s">
        <v>1151</v>
      </c>
      <c r="B305" s="23">
        <v>2</v>
      </c>
      <c r="C305" s="25" t="s">
        <v>205</v>
      </c>
      <c r="D305" s="25" t="s">
        <v>2453</v>
      </c>
      <c r="E305" s="23" t="s">
        <v>2454</v>
      </c>
      <c r="F305" s="23" t="s">
        <v>2455</v>
      </c>
      <c r="G305" s="23" t="s">
        <v>1517</v>
      </c>
      <c r="H305" s="23" t="s">
        <v>1518</v>
      </c>
      <c r="I305" s="23" t="s">
        <v>1519</v>
      </c>
      <c r="J305" s="23" t="s">
        <v>1520</v>
      </c>
    </row>
    <row r="306" spans="1:10" ht="49.5" customHeight="1" x14ac:dyDescent="0.35">
      <c r="A306" s="26" t="s">
        <v>1151</v>
      </c>
      <c r="B306" s="3">
        <v>3</v>
      </c>
      <c r="C306" s="26" t="s">
        <v>209</v>
      </c>
      <c r="D306" s="26" t="s">
        <v>2456</v>
      </c>
      <c r="E306" s="3" t="s">
        <v>2457</v>
      </c>
      <c r="F306" s="3" t="s">
        <v>2458</v>
      </c>
      <c r="G306" s="3" t="s">
        <v>1524</v>
      </c>
      <c r="H306" s="3" t="s">
        <v>1525</v>
      </c>
      <c r="I306" s="3" t="s">
        <v>1526</v>
      </c>
      <c r="J306" s="3" t="s">
        <v>1527</v>
      </c>
    </row>
    <row r="307" spans="1:10" ht="49.5" customHeight="1" x14ac:dyDescent="0.35">
      <c r="A307" s="27" t="s">
        <v>1151</v>
      </c>
      <c r="B307" s="3">
        <v>4</v>
      </c>
      <c r="C307" s="27" t="s">
        <v>213</v>
      </c>
      <c r="D307" s="27" t="s">
        <v>2459</v>
      </c>
      <c r="E307" s="3" t="s">
        <v>2460</v>
      </c>
      <c r="F307" s="3" t="s">
        <v>2461</v>
      </c>
      <c r="G307" s="3" t="s">
        <v>1531</v>
      </c>
      <c r="H307" s="3" t="s">
        <v>1532</v>
      </c>
      <c r="I307" s="3" t="s">
        <v>1533</v>
      </c>
      <c r="J307" s="3" t="s">
        <v>1534</v>
      </c>
    </row>
    <row r="308" spans="1:10" ht="49.5" customHeight="1" x14ac:dyDescent="0.35">
      <c r="A308" s="28" t="s">
        <v>1151</v>
      </c>
      <c r="B308" s="3">
        <v>5</v>
      </c>
      <c r="C308" s="28" t="s">
        <v>217</v>
      </c>
      <c r="D308" s="28" t="s">
        <v>2462</v>
      </c>
      <c r="E308" s="3" t="s">
        <v>2463</v>
      </c>
      <c r="F308" s="3" t="s">
        <v>2464</v>
      </c>
      <c r="G308" s="3" t="s">
        <v>1538</v>
      </c>
      <c r="H308" s="3" t="s">
        <v>1539</v>
      </c>
      <c r="I308" s="3" t="s">
        <v>1540</v>
      </c>
      <c r="J308" s="3" t="s">
        <v>1541</v>
      </c>
    </row>
    <row r="309" spans="1:10" ht="49.5" customHeight="1" x14ac:dyDescent="0.35">
      <c r="A309" s="22" t="s">
        <v>1160</v>
      </c>
      <c r="B309" s="3">
        <v>0</v>
      </c>
      <c r="C309" s="22" t="s">
        <v>197</v>
      </c>
      <c r="D309" s="22" t="s">
        <v>2465</v>
      </c>
      <c r="E309" s="3" t="s">
        <v>2466</v>
      </c>
      <c r="F309" s="3" t="s">
        <v>2467</v>
      </c>
      <c r="G309" s="3" t="s">
        <v>1503</v>
      </c>
      <c r="H309" s="3" t="s">
        <v>2468</v>
      </c>
      <c r="I309" s="3" t="s">
        <v>1505</v>
      </c>
      <c r="J309" s="3" t="s">
        <v>2469</v>
      </c>
    </row>
    <row r="310" spans="1:10" ht="49.5" customHeight="1" x14ac:dyDescent="0.35">
      <c r="A310" s="24" t="s">
        <v>1160</v>
      </c>
      <c r="B310" s="3">
        <v>1</v>
      </c>
      <c r="C310" s="24" t="s">
        <v>201</v>
      </c>
      <c r="D310" s="24" t="s">
        <v>2470</v>
      </c>
      <c r="E310" s="3" t="s">
        <v>2471</v>
      </c>
      <c r="F310" s="3" t="s">
        <v>2472</v>
      </c>
      <c r="G310" s="3" t="s">
        <v>1510</v>
      </c>
      <c r="H310" s="3" t="s">
        <v>1511</v>
      </c>
      <c r="I310" s="3" t="s">
        <v>1512</v>
      </c>
      <c r="J310" s="3" t="s">
        <v>2473</v>
      </c>
    </row>
    <row r="311" spans="1:10" ht="49.5" customHeight="1" x14ac:dyDescent="0.35">
      <c r="A311" s="25" t="s">
        <v>1160</v>
      </c>
      <c r="B311" s="3">
        <v>2</v>
      </c>
      <c r="C311" s="25" t="s">
        <v>205</v>
      </c>
      <c r="D311" s="25" t="s">
        <v>2474</v>
      </c>
      <c r="E311" s="3" t="s">
        <v>2475</v>
      </c>
      <c r="F311" s="3" t="s">
        <v>2476</v>
      </c>
      <c r="G311" s="3" t="s">
        <v>1517</v>
      </c>
      <c r="H311" s="3" t="s">
        <v>1518</v>
      </c>
      <c r="I311" s="3" t="s">
        <v>1519</v>
      </c>
      <c r="J311" s="3" t="s">
        <v>1520</v>
      </c>
    </row>
    <row r="312" spans="1:10" ht="49.5" customHeight="1" x14ac:dyDescent="0.35">
      <c r="A312" s="26" t="s">
        <v>1160</v>
      </c>
      <c r="B312" s="23">
        <v>3</v>
      </c>
      <c r="C312" s="26" t="s">
        <v>209</v>
      </c>
      <c r="D312" s="26" t="s">
        <v>2477</v>
      </c>
      <c r="E312" s="23" t="s">
        <v>2478</v>
      </c>
      <c r="F312" s="23" t="s">
        <v>2479</v>
      </c>
      <c r="G312" s="23" t="s">
        <v>1524</v>
      </c>
      <c r="H312" s="23" t="s">
        <v>1525</v>
      </c>
      <c r="I312" s="23" t="s">
        <v>1526</v>
      </c>
      <c r="J312" s="23" t="s">
        <v>1527</v>
      </c>
    </row>
    <row r="313" spans="1:10" ht="49.5" customHeight="1" x14ac:dyDescent="0.35">
      <c r="A313" s="27" t="s">
        <v>1160</v>
      </c>
      <c r="B313" s="23">
        <v>4</v>
      </c>
      <c r="C313" s="27" t="s">
        <v>213</v>
      </c>
      <c r="D313" s="27" t="s">
        <v>2480</v>
      </c>
      <c r="E313" s="23" t="s">
        <v>2481</v>
      </c>
      <c r="F313" s="23" t="s">
        <v>2482</v>
      </c>
      <c r="G313" s="23" t="s">
        <v>1531</v>
      </c>
      <c r="H313" s="23" t="s">
        <v>1532</v>
      </c>
      <c r="I313" s="23" t="s">
        <v>1533</v>
      </c>
      <c r="J313" s="23" t="s">
        <v>1534</v>
      </c>
    </row>
    <row r="314" spans="1:10" ht="49.5" customHeight="1" x14ac:dyDescent="0.35">
      <c r="A314" s="28" t="s">
        <v>1160</v>
      </c>
      <c r="B314" s="23">
        <v>5</v>
      </c>
      <c r="C314" s="28" t="s">
        <v>217</v>
      </c>
      <c r="D314" s="28" t="s">
        <v>2483</v>
      </c>
      <c r="E314" s="23" t="s">
        <v>2484</v>
      </c>
      <c r="F314" s="23" t="s">
        <v>2485</v>
      </c>
      <c r="G314" s="23" t="s">
        <v>1538</v>
      </c>
      <c r="H314" s="23" t="s">
        <v>1539</v>
      </c>
      <c r="I314" s="23" t="s">
        <v>1540</v>
      </c>
      <c r="J314" s="23" t="s">
        <v>1541</v>
      </c>
    </row>
    <row r="315" spans="1:10" ht="49.5" customHeight="1" x14ac:dyDescent="0.35">
      <c r="A315" s="22" t="s">
        <v>1169</v>
      </c>
      <c r="B315" s="23">
        <v>0</v>
      </c>
      <c r="C315" s="22" t="s">
        <v>197</v>
      </c>
      <c r="D315" s="22" t="s">
        <v>2486</v>
      </c>
      <c r="E315" s="23" t="s">
        <v>2487</v>
      </c>
      <c r="F315" s="23" t="s">
        <v>2488</v>
      </c>
      <c r="G315" s="23" t="s">
        <v>1503</v>
      </c>
      <c r="H315" s="23" t="s">
        <v>2489</v>
      </c>
      <c r="I315" s="23" t="s">
        <v>1505</v>
      </c>
      <c r="J315" s="23" t="s">
        <v>2490</v>
      </c>
    </row>
    <row r="316" spans="1:10" ht="49.5" customHeight="1" x14ac:dyDescent="0.35">
      <c r="A316" s="24" t="s">
        <v>1169</v>
      </c>
      <c r="B316" s="23">
        <v>1</v>
      </c>
      <c r="C316" s="24" t="s">
        <v>201</v>
      </c>
      <c r="D316" s="24" t="s">
        <v>2491</v>
      </c>
      <c r="E316" s="23" t="s">
        <v>2492</v>
      </c>
      <c r="F316" s="23" t="s">
        <v>2493</v>
      </c>
      <c r="G316" s="23" t="s">
        <v>1510</v>
      </c>
      <c r="H316" s="23" t="s">
        <v>1511</v>
      </c>
      <c r="I316" s="23" t="s">
        <v>1512</v>
      </c>
      <c r="J316" s="23" t="s">
        <v>2494</v>
      </c>
    </row>
    <row r="317" spans="1:10" ht="49.5" customHeight="1" x14ac:dyDescent="0.35">
      <c r="A317" s="25" t="s">
        <v>1169</v>
      </c>
      <c r="B317" s="23">
        <v>2</v>
      </c>
      <c r="C317" s="25" t="s">
        <v>205</v>
      </c>
      <c r="D317" s="25" t="s">
        <v>2495</v>
      </c>
      <c r="E317" s="23" t="s">
        <v>2496</v>
      </c>
      <c r="F317" s="23" t="s">
        <v>2497</v>
      </c>
      <c r="G317" s="23" t="s">
        <v>1517</v>
      </c>
      <c r="H317" s="23" t="s">
        <v>1518</v>
      </c>
      <c r="I317" s="23" t="s">
        <v>1519</v>
      </c>
      <c r="J317" s="23" t="s">
        <v>1520</v>
      </c>
    </row>
    <row r="318" spans="1:10" ht="49.5" customHeight="1" x14ac:dyDescent="0.35">
      <c r="A318" s="26" t="s">
        <v>1169</v>
      </c>
      <c r="B318" s="3">
        <v>3</v>
      </c>
      <c r="C318" s="26" t="s">
        <v>209</v>
      </c>
      <c r="D318" s="26" t="s">
        <v>2498</v>
      </c>
      <c r="E318" s="3" t="s">
        <v>2499</v>
      </c>
      <c r="F318" s="3" t="s">
        <v>2500</v>
      </c>
      <c r="G318" s="3" t="s">
        <v>1524</v>
      </c>
      <c r="H318" s="3" t="s">
        <v>1525</v>
      </c>
      <c r="I318" s="3" t="s">
        <v>1526</v>
      </c>
      <c r="J318" s="3" t="s">
        <v>1527</v>
      </c>
    </row>
    <row r="319" spans="1:10" ht="49.5" customHeight="1" x14ac:dyDescent="0.35">
      <c r="A319" s="27" t="s">
        <v>1169</v>
      </c>
      <c r="B319" s="3">
        <v>4</v>
      </c>
      <c r="C319" s="27" t="s">
        <v>213</v>
      </c>
      <c r="D319" s="27" t="s">
        <v>2501</v>
      </c>
      <c r="E319" s="3" t="s">
        <v>2502</v>
      </c>
      <c r="F319" s="3" t="s">
        <v>2503</v>
      </c>
      <c r="G319" s="3" t="s">
        <v>1531</v>
      </c>
      <c r="H319" s="3" t="s">
        <v>1532</v>
      </c>
      <c r="I319" s="3" t="s">
        <v>1533</v>
      </c>
      <c r="J319" s="3" t="s">
        <v>1534</v>
      </c>
    </row>
    <row r="320" spans="1:10" ht="49.5" customHeight="1" x14ac:dyDescent="0.35">
      <c r="A320" s="28" t="s">
        <v>1169</v>
      </c>
      <c r="B320" s="3">
        <v>5</v>
      </c>
      <c r="C320" s="28" t="s">
        <v>217</v>
      </c>
      <c r="D320" s="28" t="s">
        <v>2504</v>
      </c>
      <c r="E320" s="3" t="s">
        <v>2505</v>
      </c>
      <c r="F320" s="3" t="s">
        <v>2506</v>
      </c>
      <c r="G320" s="3" t="s">
        <v>1538</v>
      </c>
      <c r="H320" s="3" t="s">
        <v>1539</v>
      </c>
      <c r="I320" s="3" t="s">
        <v>1540</v>
      </c>
      <c r="J320" s="3" t="s">
        <v>1541</v>
      </c>
    </row>
    <row r="321" spans="1:10" ht="49.5" customHeight="1" x14ac:dyDescent="0.35">
      <c r="A321" s="22" t="s">
        <v>1180</v>
      </c>
      <c r="B321" s="3">
        <v>0</v>
      </c>
      <c r="C321" s="22" t="s">
        <v>197</v>
      </c>
      <c r="D321" s="22" t="s">
        <v>2507</v>
      </c>
      <c r="E321" s="3" t="s">
        <v>2508</v>
      </c>
      <c r="F321" s="3" t="s">
        <v>2509</v>
      </c>
      <c r="G321" s="3" t="s">
        <v>1503</v>
      </c>
      <c r="H321" s="3" t="s">
        <v>2510</v>
      </c>
      <c r="I321" s="3" t="s">
        <v>1505</v>
      </c>
      <c r="J321" s="3" t="s">
        <v>2511</v>
      </c>
    </row>
    <row r="322" spans="1:10" ht="49.5" customHeight="1" x14ac:dyDescent="0.35">
      <c r="A322" s="24" t="s">
        <v>1180</v>
      </c>
      <c r="B322" s="3">
        <v>1</v>
      </c>
      <c r="C322" s="24" t="s">
        <v>201</v>
      </c>
      <c r="D322" s="24" t="s">
        <v>2512</v>
      </c>
      <c r="E322" s="3" t="s">
        <v>2513</v>
      </c>
      <c r="F322" s="3" t="s">
        <v>2514</v>
      </c>
      <c r="G322" s="3" t="s">
        <v>1510</v>
      </c>
      <c r="H322" s="3" t="s">
        <v>1511</v>
      </c>
      <c r="I322" s="3" t="s">
        <v>1512</v>
      </c>
      <c r="J322" s="3" t="s">
        <v>2515</v>
      </c>
    </row>
    <row r="323" spans="1:10" ht="49.5" customHeight="1" x14ac:dyDescent="0.35">
      <c r="A323" s="25" t="s">
        <v>1180</v>
      </c>
      <c r="B323" s="3">
        <v>2</v>
      </c>
      <c r="C323" s="25" t="s">
        <v>205</v>
      </c>
      <c r="D323" s="25" t="s">
        <v>2516</v>
      </c>
      <c r="E323" s="3" t="s">
        <v>2517</v>
      </c>
      <c r="F323" s="3" t="s">
        <v>2518</v>
      </c>
      <c r="G323" s="3" t="s">
        <v>1517</v>
      </c>
      <c r="H323" s="3" t="s">
        <v>1518</v>
      </c>
      <c r="I323" s="3" t="s">
        <v>1519</v>
      </c>
      <c r="J323" s="3" t="s">
        <v>1520</v>
      </c>
    </row>
    <row r="324" spans="1:10" ht="49.5" customHeight="1" x14ac:dyDescent="0.35">
      <c r="A324" s="26" t="s">
        <v>1180</v>
      </c>
      <c r="B324" s="23">
        <v>3</v>
      </c>
      <c r="C324" s="26" t="s">
        <v>209</v>
      </c>
      <c r="D324" s="26" t="s">
        <v>2519</v>
      </c>
      <c r="E324" s="23" t="s">
        <v>2520</v>
      </c>
      <c r="F324" s="23" t="s">
        <v>2521</v>
      </c>
      <c r="G324" s="23" t="s">
        <v>1524</v>
      </c>
      <c r="H324" s="23" t="s">
        <v>1525</v>
      </c>
      <c r="I324" s="23" t="s">
        <v>1526</v>
      </c>
      <c r="J324" s="23" t="s">
        <v>1527</v>
      </c>
    </row>
    <row r="325" spans="1:10" ht="49.5" customHeight="1" x14ac:dyDescent="0.35">
      <c r="A325" s="27" t="s">
        <v>1180</v>
      </c>
      <c r="B325" s="23">
        <v>4</v>
      </c>
      <c r="C325" s="27" t="s">
        <v>213</v>
      </c>
      <c r="D325" s="27" t="s">
        <v>2522</v>
      </c>
      <c r="E325" s="23" t="s">
        <v>2523</v>
      </c>
      <c r="F325" s="23" t="s">
        <v>2524</v>
      </c>
      <c r="G325" s="23" t="s">
        <v>1531</v>
      </c>
      <c r="H325" s="23" t="s">
        <v>1532</v>
      </c>
      <c r="I325" s="23" t="s">
        <v>1533</v>
      </c>
      <c r="J325" s="23" t="s">
        <v>1534</v>
      </c>
    </row>
    <row r="326" spans="1:10" ht="49.5" customHeight="1" x14ac:dyDescent="0.35">
      <c r="A326" s="28" t="s">
        <v>1180</v>
      </c>
      <c r="B326" s="23">
        <v>5</v>
      </c>
      <c r="C326" s="28" t="s">
        <v>217</v>
      </c>
      <c r="D326" s="28" t="s">
        <v>2525</v>
      </c>
      <c r="E326" s="23" t="s">
        <v>2526</v>
      </c>
      <c r="F326" s="23" t="s">
        <v>2527</v>
      </c>
      <c r="G326" s="23" t="s">
        <v>1538</v>
      </c>
      <c r="H326" s="23" t="s">
        <v>1539</v>
      </c>
      <c r="I326" s="23" t="s">
        <v>1540</v>
      </c>
      <c r="J326" s="23" t="s">
        <v>1541</v>
      </c>
    </row>
    <row r="327" spans="1:10" ht="49.5" customHeight="1" x14ac:dyDescent="0.35">
      <c r="A327" s="22" t="s">
        <v>1190</v>
      </c>
      <c r="B327" s="23">
        <v>0</v>
      </c>
      <c r="C327" s="22" t="s">
        <v>197</v>
      </c>
      <c r="D327" s="22" t="s">
        <v>2528</v>
      </c>
      <c r="E327" s="23" t="s">
        <v>2529</v>
      </c>
      <c r="F327" s="23" t="s">
        <v>2530</v>
      </c>
      <c r="G327" s="23" t="s">
        <v>1503</v>
      </c>
      <c r="H327" s="23" t="s">
        <v>2531</v>
      </c>
      <c r="I327" s="23" t="s">
        <v>1505</v>
      </c>
      <c r="J327" s="23" t="s">
        <v>2532</v>
      </c>
    </row>
    <row r="328" spans="1:10" ht="49.5" customHeight="1" x14ac:dyDescent="0.35">
      <c r="A328" s="24" t="s">
        <v>1190</v>
      </c>
      <c r="B328" s="23">
        <v>1</v>
      </c>
      <c r="C328" s="24" t="s">
        <v>201</v>
      </c>
      <c r="D328" s="24" t="s">
        <v>2533</v>
      </c>
      <c r="E328" s="23" t="s">
        <v>2534</v>
      </c>
      <c r="F328" s="23" t="s">
        <v>2535</v>
      </c>
      <c r="G328" s="23" t="s">
        <v>1510</v>
      </c>
      <c r="H328" s="23" t="s">
        <v>1511</v>
      </c>
      <c r="I328" s="23" t="s">
        <v>1512</v>
      </c>
      <c r="J328" s="23" t="s">
        <v>2536</v>
      </c>
    </row>
    <row r="329" spans="1:10" ht="49.5" customHeight="1" x14ac:dyDescent="0.35">
      <c r="A329" s="25" t="s">
        <v>1190</v>
      </c>
      <c r="B329" s="23">
        <v>2</v>
      </c>
      <c r="C329" s="25" t="s">
        <v>205</v>
      </c>
      <c r="D329" s="25" t="s">
        <v>2537</v>
      </c>
      <c r="E329" s="23" t="s">
        <v>2538</v>
      </c>
      <c r="F329" s="23" t="s">
        <v>2539</v>
      </c>
      <c r="G329" s="23" t="s">
        <v>1517</v>
      </c>
      <c r="H329" s="23" t="s">
        <v>1518</v>
      </c>
      <c r="I329" s="23" t="s">
        <v>1519</v>
      </c>
      <c r="J329" s="23" t="s">
        <v>1520</v>
      </c>
    </row>
    <row r="330" spans="1:10" ht="49.5" customHeight="1" x14ac:dyDescent="0.35">
      <c r="A330" s="26" t="s">
        <v>1190</v>
      </c>
      <c r="B330" s="3">
        <v>3</v>
      </c>
      <c r="C330" s="26" t="s">
        <v>209</v>
      </c>
      <c r="D330" s="26" t="s">
        <v>2540</v>
      </c>
      <c r="E330" s="3" t="s">
        <v>2541</v>
      </c>
      <c r="F330" s="3" t="s">
        <v>2542</v>
      </c>
      <c r="G330" s="3" t="s">
        <v>1524</v>
      </c>
      <c r="H330" s="3" t="s">
        <v>1525</v>
      </c>
      <c r="I330" s="3" t="s">
        <v>1526</v>
      </c>
      <c r="J330" s="3" t="s">
        <v>1527</v>
      </c>
    </row>
    <row r="331" spans="1:10" ht="49.5" customHeight="1" x14ac:dyDescent="0.35">
      <c r="A331" s="27" t="s">
        <v>1190</v>
      </c>
      <c r="B331" s="3">
        <v>4</v>
      </c>
      <c r="C331" s="27" t="s">
        <v>213</v>
      </c>
      <c r="D331" s="27" t="s">
        <v>2543</v>
      </c>
      <c r="E331" s="3" t="s">
        <v>2544</v>
      </c>
      <c r="F331" s="3" t="s">
        <v>2545</v>
      </c>
      <c r="G331" s="3" t="s">
        <v>1531</v>
      </c>
      <c r="H331" s="3" t="s">
        <v>1532</v>
      </c>
      <c r="I331" s="3" t="s">
        <v>1533</v>
      </c>
      <c r="J331" s="3" t="s">
        <v>1534</v>
      </c>
    </row>
    <row r="332" spans="1:10" ht="49.5" customHeight="1" x14ac:dyDescent="0.35">
      <c r="A332" s="28" t="s">
        <v>1190</v>
      </c>
      <c r="B332" s="3">
        <v>5</v>
      </c>
      <c r="C332" s="28" t="s">
        <v>217</v>
      </c>
      <c r="D332" s="28" t="s">
        <v>2546</v>
      </c>
      <c r="E332" s="3" t="s">
        <v>2547</v>
      </c>
      <c r="F332" s="3" t="s">
        <v>2548</v>
      </c>
      <c r="G332" s="3" t="s">
        <v>1538</v>
      </c>
      <c r="H332" s="3" t="s">
        <v>1539</v>
      </c>
      <c r="I332" s="3" t="s">
        <v>1540</v>
      </c>
      <c r="J332" s="3" t="s">
        <v>1541</v>
      </c>
    </row>
    <row r="333" spans="1:10" ht="49.5" customHeight="1" x14ac:dyDescent="0.35">
      <c r="A333" s="22" t="s">
        <v>1201</v>
      </c>
      <c r="B333" s="3">
        <v>0</v>
      </c>
      <c r="C333" s="22" t="s">
        <v>197</v>
      </c>
      <c r="D333" s="22" t="s">
        <v>2549</v>
      </c>
      <c r="E333" s="3" t="s">
        <v>2550</v>
      </c>
      <c r="F333" s="3" t="s">
        <v>2551</v>
      </c>
      <c r="G333" s="3" t="s">
        <v>1503</v>
      </c>
      <c r="H333" s="3" t="s">
        <v>2552</v>
      </c>
      <c r="I333" s="3" t="s">
        <v>1505</v>
      </c>
      <c r="J333" s="3" t="s">
        <v>2553</v>
      </c>
    </row>
    <row r="334" spans="1:10" ht="49.5" customHeight="1" x14ac:dyDescent="0.35">
      <c r="A334" s="24" t="s">
        <v>1201</v>
      </c>
      <c r="B334" s="3">
        <v>1</v>
      </c>
      <c r="C334" s="24" t="s">
        <v>201</v>
      </c>
      <c r="D334" s="24" t="s">
        <v>2554</v>
      </c>
      <c r="E334" s="3" t="s">
        <v>2555</v>
      </c>
      <c r="F334" s="3" t="s">
        <v>2556</v>
      </c>
      <c r="G334" s="3" t="s">
        <v>1510</v>
      </c>
      <c r="H334" s="3" t="s">
        <v>1511</v>
      </c>
      <c r="I334" s="3" t="s">
        <v>1512</v>
      </c>
      <c r="J334" s="3" t="s">
        <v>2557</v>
      </c>
    </row>
    <row r="335" spans="1:10" ht="49.5" customHeight="1" x14ac:dyDescent="0.35">
      <c r="A335" s="25" t="s">
        <v>1201</v>
      </c>
      <c r="B335" s="3">
        <v>2</v>
      </c>
      <c r="C335" s="25" t="s">
        <v>205</v>
      </c>
      <c r="D335" s="25" t="s">
        <v>2558</v>
      </c>
      <c r="E335" s="3" t="s">
        <v>2559</v>
      </c>
      <c r="F335" s="3" t="s">
        <v>2560</v>
      </c>
      <c r="G335" s="3" t="s">
        <v>1517</v>
      </c>
      <c r="H335" s="3" t="s">
        <v>1518</v>
      </c>
      <c r="I335" s="3" t="s">
        <v>1519</v>
      </c>
      <c r="J335" s="3" t="s">
        <v>1520</v>
      </c>
    </row>
    <row r="336" spans="1:10" ht="49.5" customHeight="1" x14ac:dyDescent="0.35">
      <c r="A336" s="26" t="s">
        <v>1201</v>
      </c>
      <c r="B336" s="23">
        <v>3</v>
      </c>
      <c r="C336" s="26" t="s">
        <v>209</v>
      </c>
      <c r="D336" s="26" t="s">
        <v>2561</v>
      </c>
      <c r="E336" s="23" t="s">
        <v>2562</v>
      </c>
      <c r="F336" s="23" t="s">
        <v>2563</v>
      </c>
      <c r="G336" s="23" t="s">
        <v>1524</v>
      </c>
      <c r="H336" s="23" t="s">
        <v>1525</v>
      </c>
      <c r="I336" s="23" t="s">
        <v>1526</v>
      </c>
      <c r="J336" s="23" t="s">
        <v>1527</v>
      </c>
    </row>
    <row r="337" spans="1:10" ht="49.5" customHeight="1" x14ac:dyDescent="0.35">
      <c r="A337" s="27" t="s">
        <v>1201</v>
      </c>
      <c r="B337" s="23">
        <v>4</v>
      </c>
      <c r="C337" s="27" t="s">
        <v>213</v>
      </c>
      <c r="D337" s="27" t="s">
        <v>2564</v>
      </c>
      <c r="E337" s="23" t="s">
        <v>2565</v>
      </c>
      <c r="F337" s="23" t="s">
        <v>2566</v>
      </c>
      <c r="G337" s="23" t="s">
        <v>1531</v>
      </c>
      <c r="H337" s="23" t="s">
        <v>1532</v>
      </c>
      <c r="I337" s="23" t="s">
        <v>1533</v>
      </c>
      <c r="J337" s="23" t="s">
        <v>1534</v>
      </c>
    </row>
    <row r="338" spans="1:10" ht="49.5" customHeight="1" x14ac:dyDescent="0.35">
      <c r="A338" s="28" t="s">
        <v>1201</v>
      </c>
      <c r="B338" s="23">
        <v>5</v>
      </c>
      <c r="C338" s="28" t="s">
        <v>217</v>
      </c>
      <c r="D338" s="28" t="s">
        <v>2567</v>
      </c>
      <c r="E338" s="23" t="s">
        <v>2568</v>
      </c>
      <c r="F338" s="23" t="s">
        <v>2569</v>
      </c>
      <c r="G338" s="23" t="s">
        <v>1538</v>
      </c>
      <c r="H338" s="23" t="s">
        <v>1539</v>
      </c>
      <c r="I338" s="23" t="s">
        <v>1540</v>
      </c>
      <c r="J338" s="23" t="s">
        <v>1541</v>
      </c>
    </row>
    <row r="339" spans="1:10" ht="49.5" customHeight="1" x14ac:dyDescent="0.35">
      <c r="A339" s="22" t="s">
        <v>1210</v>
      </c>
      <c r="B339" s="23">
        <v>0</v>
      </c>
      <c r="C339" s="22" t="s">
        <v>197</v>
      </c>
      <c r="D339" s="22" t="s">
        <v>2570</v>
      </c>
      <c r="E339" s="23" t="s">
        <v>2571</v>
      </c>
      <c r="F339" s="23" t="s">
        <v>2572</v>
      </c>
      <c r="G339" s="23" t="s">
        <v>1503</v>
      </c>
      <c r="H339" s="23" t="s">
        <v>2573</v>
      </c>
      <c r="I339" s="23" t="s">
        <v>1505</v>
      </c>
      <c r="J339" s="23" t="s">
        <v>2574</v>
      </c>
    </row>
    <row r="340" spans="1:10" ht="49.5" customHeight="1" x14ac:dyDescent="0.35">
      <c r="A340" s="24" t="s">
        <v>1210</v>
      </c>
      <c r="B340" s="23">
        <v>1</v>
      </c>
      <c r="C340" s="24" t="s">
        <v>201</v>
      </c>
      <c r="D340" s="24" t="s">
        <v>2575</v>
      </c>
      <c r="E340" s="23" t="s">
        <v>2576</v>
      </c>
      <c r="F340" s="23" t="s">
        <v>2577</v>
      </c>
      <c r="G340" s="23" t="s">
        <v>1510</v>
      </c>
      <c r="H340" s="23" t="s">
        <v>1511</v>
      </c>
      <c r="I340" s="23" t="s">
        <v>1512</v>
      </c>
      <c r="J340" s="23" t="s">
        <v>2578</v>
      </c>
    </row>
    <row r="341" spans="1:10" ht="49.5" customHeight="1" x14ac:dyDescent="0.35">
      <c r="A341" s="25" t="s">
        <v>1210</v>
      </c>
      <c r="B341" s="23">
        <v>2</v>
      </c>
      <c r="C341" s="25" t="s">
        <v>205</v>
      </c>
      <c r="D341" s="25" t="s">
        <v>2579</v>
      </c>
      <c r="E341" s="23" t="s">
        <v>2580</v>
      </c>
      <c r="F341" s="23" t="s">
        <v>2581</v>
      </c>
      <c r="G341" s="23" t="s">
        <v>1517</v>
      </c>
      <c r="H341" s="23" t="s">
        <v>1518</v>
      </c>
      <c r="I341" s="23" t="s">
        <v>1519</v>
      </c>
      <c r="J341" s="23" t="s">
        <v>1520</v>
      </c>
    </row>
    <row r="342" spans="1:10" ht="49.5" customHeight="1" x14ac:dyDescent="0.35">
      <c r="A342" s="26" t="s">
        <v>1210</v>
      </c>
      <c r="B342" s="3">
        <v>3</v>
      </c>
      <c r="C342" s="26" t="s">
        <v>209</v>
      </c>
      <c r="D342" s="26" t="s">
        <v>2582</v>
      </c>
      <c r="E342" s="3" t="s">
        <v>2583</v>
      </c>
      <c r="F342" s="3" t="s">
        <v>2584</v>
      </c>
      <c r="G342" s="3" t="s">
        <v>1524</v>
      </c>
      <c r="H342" s="3" t="s">
        <v>1525</v>
      </c>
      <c r="I342" s="3" t="s">
        <v>1526</v>
      </c>
      <c r="J342" s="3" t="s">
        <v>1527</v>
      </c>
    </row>
    <row r="343" spans="1:10" ht="49.5" customHeight="1" x14ac:dyDescent="0.35">
      <c r="A343" s="27" t="s">
        <v>1210</v>
      </c>
      <c r="B343" s="3">
        <v>4</v>
      </c>
      <c r="C343" s="27" t="s">
        <v>213</v>
      </c>
      <c r="D343" s="27" t="s">
        <v>2585</v>
      </c>
      <c r="E343" s="3" t="s">
        <v>2586</v>
      </c>
      <c r="F343" s="3" t="s">
        <v>2587</v>
      </c>
      <c r="G343" s="3" t="s">
        <v>1531</v>
      </c>
      <c r="H343" s="3" t="s">
        <v>1532</v>
      </c>
      <c r="I343" s="3" t="s">
        <v>1533</v>
      </c>
      <c r="J343" s="3" t="s">
        <v>1534</v>
      </c>
    </row>
    <row r="344" spans="1:10" ht="49.5" customHeight="1" x14ac:dyDescent="0.35">
      <c r="A344" s="28" t="s">
        <v>1210</v>
      </c>
      <c r="B344" s="3">
        <v>5</v>
      </c>
      <c r="C344" s="28" t="s">
        <v>217</v>
      </c>
      <c r="D344" s="28" t="s">
        <v>2588</v>
      </c>
      <c r="E344" s="3" t="s">
        <v>2589</v>
      </c>
      <c r="F344" s="3" t="s">
        <v>2590</v>
      </c>
      <c r="G344" s="3" t="s">
        <v>1538</v>
      </c>
      <c r="H344" s="3" t="s">
        <v>1539</v>
      </c>
      <c r="I344" s="3" t="s">
        <v>1540</v>
      </c>
      <c r="J344" s="3" t="s">
        <v>1541</v>
      </c>
    </row>
    <row r="345" spans="1:10" ht="49.5" customHeight="1" x14ac:dyDescent="0.35">
      <c r="A345" s="22" t="s">
        <v>1220</v>
      </c>
      <c r="B345" s="3">
        <v>0</v>
      </c>
      <c r="C345" s="22" t="s">
        <v>197</v>
      </c>
      <c r="D345" s="22" t="s">
        <v>2591</v>
      </c>
      <c r="E345" s="3" t="s">
        <v>2592</v>
      </c>
      <c r="F345" s="3" t="s">
        <v>2593</v>
      </c>
      <c r="G345" s="3" t="s">
        <v>1503</v>
      </c>
      <c r="H345" s="3" t="s">
        <v>2594</v>
      </c>
      <c r="I345" s="3" t="s">
        <v>1505</v>
      </c>
      <c r="J345" s="3" t="s">
        <v>2595</v>
      </c>
    </row>
    <row r="346" spans="1:10" ht="49.5" customHeight="1" x14ac:dyDescent="0.35">
      <c r="A346" s="24" t="s">
        <v>1220</v>
      </c>
      <c r="B346" s="3">
        <v>1</v>
      </c>
      <c r="C346" s="24" t="s">
        <v>201</v>
      </c>
      <c r="D346" s="24" t="s">
        <v>2596</v>
      </c>
      <c r="E346" s="3" t="s">
        <v>2597</v>
      </c>
      <c r="F346" s="3" t="s">
        <v>2598</v>
      </c>
      <c r="G346" s="3" t="s">
        <v>1510</v>
      </c>
      <c r="H346" s="3" t="s">
        <v>1511</v>
      </c>
      <c r="I346" s="3" t="s">
        <v>1512</v>
      </c>
      <c r="J346" s="3" t="s">
        <v>2599</v>
      </c>
    </row>
    <row r="347" spans="1:10" ht="49.5" customHeight="1" x14ac:dyDescent="0.35">
      <c r="A347" s="25" t="s">
        <v>1220</v>
      </c>
      <c r="B347" s="3">
        <v>2</v>
      </c>
      <c r="C347" s="25" t="s">
        <v>205</v>
      </c>
      <c r="D347" s="25" t="s">
        <v>2600</v>
      </c>
      <c r="E347" s="3" t="s">
        <v>2601</v>
      </c>
      <c r="F347" s="3" t="s">
        <v>2602</v>
      </c>
      <c r="G347" s="3" t="s">
        <v>1517</v>
      </c>
      <c r="H347" s="3" t="s">
        <v>1518</v>
      </c>
      <c r="I347" s="3" t="s">
        <v>1519</v>
      </c>
      <c r="J347" s="3" t="s">
        <v>1520</v>
      </c>
    </row>
    <row r="348" spans="1:10" ht="49.5" customHeight="1" x14ac:dyDescent="0.35">
      <c r="A348" s="26" t="s">
        <v>1220</v>
      </c>
      <c r="B348" s="23">
        <v>3</v>
      </c>
      <c r="C348" s="26" t="s">
        <v>209</v>
      </c>
      <c r="D348" s="26" t="s">
        <v>2603</v>
      </c>
      <c r="E348" s="23" t="s">
        <v>2604</v>
      </c>
      <c r="F348" s="23" t="s">
        <v>2605</v>
      </c>
      <c r="G348" s="23" t="s">
        <v>1524</v>
      </c>
      <c r="H348" s="23" t="s">
        <v>1525</v>
      </c>
      <c r="I348" s="23" t="s">
        <v>1526</v>
      </c>
      <c r="J348" s="23" t="s">
        <v>1527</v>
      </c>
    </row>
    <row r="349" spans="1:10" ht="49.5" customHeight="1" x14ac:dyDescent="0.35">
      <c r="A349" s="27" t="s">
        <v>1220</v>
      </c>
      <c r="B349" s="23">
        <v>4</v>
      </c>
      <c r="C349" s="27" t="s">
        <v>213</v>
      </c>
      <c r="D349" s="27" t="s">
        <v>2606</v>
      </c>
      <c r="E349" s="23" t="s">
        <v>2607</v>
      </c>
      <c r="F349" s="23" t="s">
        <v>2608</v>
      </c>
      <c r="G349" s="23" t="s">
        <v>1531</v>
      </c>
      <c r="H349" s="23" t="s">
        <v>1532</v>
      </c>
      <c r="I349" s="23" t="s">
        <v>1533</v>
      </c>
      <c r="J349" s="23" t="s">
        <v>1534</v>
      </c>
    </row>
    <row r="350" spans="1:10" ht="49.5" customHeight="1" x14ac:dyDescent="0.35">
      <c r="A350" s="28" t="s">
        <v>1220</v>
      </c>
      <c r="B350" s="23">
        <v>5</v>
      </c>
      <c r="C350" s="28" t="s">
        <v>217</v>
      </c>
      <c r="D350" s="28" t="s">
        <v>2609</v>
      </c>
      <c r="E350" s="23" t="s">
        <v>2610</v>
      </c>
      <c r="F350" s="23" t="s">
        <v>2611</v>
      </c>
      <c r="G350" s="23" t="s">
        <v>1538</v>
      </c>
      <c r="H350" s="23" t="s">
        <v>1539</v>
      </c>
      <c r="I350" s="23" t="s">
        <v>1540</v>
      </c>
      <c r="J350" s="23" t="s">
        <v>1541</v>
      </c>
    </row>
    <row r="351" spans="1:10" ht="49.5" customHeight="1" x14ac:dyDescent="0.35">
      <c r="A351" s="22" t="s">
        <v>1228</v>
      </c>
      <c r="B351" s="23">
        <v>0</v>
      </c>
      <c r="C351" s="22" t="s">
        <v>197</v>
      </c>
      <c r="D351" s="22" t="s">
        <v>2612</v>
      </c>
      <c r="E351" s="23" t="s">
        <v>2613</v>
      </c>
      <c r="F351" s="23" t="s">
        <v>2614</v>
      </c>
      <c r="G351" s="23" t="s">
        <v>1503</v>
      </c>
      <c r="H351" s="23" t="s">
        <v>2615</v>
      </c>
      <c r="I351" s="23" t="s">
        <v>1505</v>
      </c>
      <c r="J351" s="23" t="s">
        <v>2616</v>
      </c>
    </row>
    <row r="352" spans="1:10" ht="49.5" customHeight="1" x14ac:dyDescent="0.35">
      <c r="A352" s="24" t="s">
        <v>1228</v>
      </c>
      <c r="B352" s="23">
        <v>1</v>
      </c>
      <c r="C352" s="24" t="s">
        <v>201</v>
      </c>
      <c r="D352" s="24" t="s">
        <v>2617</v>
      </c>
      <c r="E352" s="23" t="s">
        <v>2618</v>
      </c>
      <c r="F352" s="23" t="s">
        <v>2619</v>
      </c>
      <c r="G352" s="23" t="s">
        <v>1510</v>
      </c>
      <c r="H352" s="23" t="s">
        <v>1511</v>
      </c>
      <c r="I352" s="23" t="s">
        <v>1512</v>
      </c>
      <c r="J352" s="23" t="s">
        <v>2620</v>
      </c>
    </row>
    <row r="353" spans="1:10" ht="49.5" customHeight="1" x14ac:dyDescent="0.35">
      <c r="A353" s="25" t="s">
        <v>1228</v>
      </c>
      <c r="B353" s="23">
        <v>2</v>
      </c>
      <c r="C353" s="25" t="s">
        <v>205</v>
      </c>
      <c r="D353" s="25" t="s">
        <v>2621</v>
      </c>
      <c r="E353" s="23" t="s">
        <v>2622</v>
      </c>
      <c r="F353" s="23" t="s">
        <v>2623</v>
      </c>
      <c r="G353" s="23" t="s">
        <v>1517</v>
      </c>
      <c r="H353" s="23" t="s">
        <v>1518</v>
      </c>
      <c r="I353" s="23" t="s">
        <v>1519</v>
      </c>
      <c r="J353" s="23" t="s">
        <v>1520</v>
      </c>
    </row>
    <row r="354" spans="1:10" ht="49.5" customHeight="1" x14ac:dyDescent="0.35">
      <c r="A354" s="26" t="s">
        <v>1228</v>
      </c>
      <c r="B354" s="3">
        <v>3</v>
      </c>
      <c r="C354" s="26" t="s">
        <v>209</v>
      </c>
      <c r="D354" s="26" t="s">
        <v>2624</v>
      </c>
      <c r="E354" s="3" t="s">
        <v>2625</v>
      </c>
      <c r="F354" s="3" t="s">
        <v>2626</v>
      </c>
      <c r="G354" s="3" t="s">
        <v>1524</v>
      </c>
      <c r="H354" s="3" t="s">
        <v>1525</v>
      </c>
      <c r="I354" s="3" t="s">
        <v>1526</v>
      </c>
      <c r="J354" s="3" t="s">
        <v>1527</v>
      </c>
    </row>
    <row r="355" spans="1:10" ht="49.5" customHeight="1" x14ac:dyDescent="0.35">
      <c r="A355" s="27" t="s">
        <v>1228</v>
      </c>
      <c r="B355" s="3">
        <v>4</v>
      </c>
      <c r="C355" s="27" t="s">
        <v>213</v>
      </c>
      <c r="D355" s="27" t="s">
        <v>2627</v>
      </c>
      <c r="E355" s="3" t="s">
        <v>2628</v>
      </c>
      <c r="F355" s="3" t="s">
        <v>2629</v>
      </c>
      <c r="G355" s="3" t="s">
        <v>1531</v>
      </c>
      <c r="H355" s="3" t="s">
        <v>1532</v>
      </c>
      <c r="I355" s="3" t="s">
        <v>1533</v>
      </c>
      <c r="J355" s="3" t="s">
        <v>1534</v>
      </c>
    </row>
    <row r="356" spans="1:10" ht="49.5" customHeight="1" x14ac:dyDescent="0.35">
      <c r="A356" s="28" t="s">
        <v>1228</v>
      </c>
      <c r="B356" s="3">
        <v>5</v>
      </c>
      <c r="C356" s="28" t="s">
        <v>217</v>
      </c>
      <c r="D356" s="28" t="s">
        <v>2630</v>
      </c>
      <c r="E356" s="3" t="s">
        <v>2631</v>
      </c>
      <c r="F356" s="3" t="s">
        <v>2632</v>
      </c>
      <c r="G356" s="3" t="s">
        <v>1538</v>
      </c>
      <c r="H356" s="3" t="s">
        <v>1539</v>
      </c>
      <c r="I356" s="3" t="s">
        <v>1540</v>
      </c>
      <c r="J356" s="3" t="s">
        <v>1541</v>
      </c>
    </row>
    <row r="357" spans="1:10" ht="49.5" customHeight="1" x14ac:dyDescent="0.35">
      <c r="A357" s="22" t="s">
        <v>1237</v>
      </c>
      <c r="B357" s="3">
        <v>0</v>
      </c>
      <c r="C357" s="22" t="s">
        <v>197</v>
      </c>
      <c r="D357" s="22" t="s">
        <v>2633</v>
      </c>
      <c r="E357" s="3" t="s">
        <v>2634</v>
      </c>
      <c r="F357" s="3" t="s">
        <v>2635</v>
      </c>
      <c r="G357" s="3" t="s">
        <v>1503</v>
      </c>
      <c r="H357" s="3" t="s">
        <v>2636</v>
      </c>
      <c r="I357" s="3" t="s">
        <v>1505</v>
      </c>
      <c r="J357" s="3" t="s">
        <v>2637</v>
      </c>
    </row>
    <row r="358" spans="1:10" ht="49.5" customHeight="1" x14ac:dyDescent="0.35">
      <c r="A358" s="24" t="s">
        <v>1237</v>
      </c>
      <c r="B358" s="3">
        <v>1</v>
      </c>
      <c r="C358" s="24" t="s">
        <v>201</v>
      </c>
      <c r="D358" s="24" t="s">
        <v>2638</v>
      </c>
      <c r="E358" s="3" t="s">
        <v>2639</v>
      </c>
      <c r="F358" s="3" t="s">
        <v>2640</v>
      </c>
      <c r="G358" s="3" t="s">
        <v>1510</v>
      </c>
      <c r="H358" s="3" t="s">
        <v>1511</v>
      </c>
      <c r="I358" s="3" t="s">
        <v>1512</v>
      </c>
      <c r="J358" s="3" t="s">
        <v>2641</v>
      </c>
    </row>
    <row r="359" spans="1:10" ht="49.5" customHeight="1" x14ac:dyDescent="0.35">
      <c r="A359" s="25" t="s">
        <v>1237</v>
      </c>
      <c r="B359" s="3">
        <v>2</v>
      </c>
      <c r="C359" s="25" t="s">
        <v>205</v>
      </c>
      <c r="D359" s="25" t="s">
        <v>2642</v>
      </c>
      <c r="E359" s="3" t="s">
        <v>2643</v>
      </c>
      <c r="F359" s="3" t="s">
        <v>2644</v>
      </c>
      <c r="G359" s="3" t="s">
        <v>1517</v>
      </c>
      <c r="H359" s="3" t="s">
        <v>1518</v>
      </c>
      <c r="I359" s="3" t="s">
        <v>1519</v>
      </c>
      <c r="J359" s="3" t="s">
        <v>1520</v>
      </c>
    </row>
    <row r="360" spans="1:10" ht="49.5" customHeight="1" x14ac:dyDescent="0.35">
      <c r="A360" s="26" t="s">
        <v>1237</v>
      </c>
      <c r="B360" s="23">
        <v>3</v>
      </c>
      <c r="C360" s="26" t="s">
        <v>209</v>
      </c>
      <c r="D360" s="26" t="s">
        <v>2645</v>
      </c>
      <c r="E360" s="23" t="s">
        <v>2646</v>
      </c>
      <c r="F360" s="23" t="s">
        <v>2647</v>
      </c>
      <c r="G360" s="23" t="s">
        <v>1524</v>
      </c>
      <c r="H360" s="23" t="s">
        <v>1525</v>
      </c>
      <c r="I360" s="23" t="s">
        <v>1526</v>
      </c>
      <c r="J360" s="23" t="s">
        <v>1527</v>
      </c>
    </row>
    <row r="361" spans="1:10" ht="49.5" customHeight="1" x14ac:dyDescent="0.35">
      <c r="A361" s="27" t="s">
        <v>1237</v>
      </c>
      <c r="B361" s="23">
        <v>4</v>
      </c>
      <c r="C361" s="27" t="s">
        <v>213</v>
      </c>
      <c r="D361" s="27" t="s">
        <v>2648</v>
      </c>
      <c r="E361" s="23" t="s">
        <v>2649</v>
      </c>
      <c r="F361" s="23" t="s">
        <v>2650</v>
      </c>
      <c r="G361" s="23" t="s">
        <v>1531</v>
      </c>
      <c r="H361" s="23" t="s">
        <v>1532</v>
      </c>
      <c r="I361" s="23" t="s">
        <v>1533</v>
      </c>
      <c r="J361" s="23" t="s">
        <v>1534</v>
      </c>
    </row>
    <row r="362" spans="1:10" ht="49.5" customHeight="1" x14ac:dyDescent="0.35">
      <c r="A362" s="28" t="s">
        <v>1237</v>
      </c>
      <c r="B362" s="23">
        <v>5</v>
      </c>
      <c r="C362" s="28" t="s">
        <v>217</v>
      </c>
      <c r="D362" s="28" t="s">
        <v>2651</v>
      </c>
      <c r="E362" s="23" t="s">
        <v>2652</v>
      </c>
      <c r="F362" s="23" t="s">
        <v>2653</v>
      </c>
      <c r="G362" s="23" t="s">
        <v>1538</v>
      </c>
      <c r="H362" s="23" t="s">
        <v>1539</v>
      </c>
      <c r="I362" s="23" t="s">
        <v>1540</v>
      </c>
      <c r="J362" s="23" t="s">
        <v>1541</v>
      </c>
    </row>
  </sheetData>
  <autoFilter ref="A2:L2" xr:uid="{00000000-0009-0000-0000-000008000000}"/>
  <mergeCells count="1">
    <mergeCell ref="A1:L1"/>
  </mergeCells>
  <pageMargins left="0.75" right="0.75" top="1" bottom="1" header="0.511811023622047" footer="0.511811023622047"/>
  <pageSetup paperSize="9" orientation="landscape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4472C4"/>
  </sheetPr>
  <dimension ref="A1:H32"/>
  <sheetViews>
    <sheetView showGridLines="0" zoomScaleNormal="100" workbookViewId="0">
      <pane ySplit="2" topLeftCell="A3" activePane="bottomLeft" state="frozen"/>
      <selection pane="bottomLeft" sqref="A1:H1"/>
    </sheetView>
  </sheetViews>
  <sheetFormatPr baseColWidth="10" defaultColWidth="8.6328125" defaultRowHeight="14.5" x14ac:dyDescent="0.35"/>
  <cols>
    <col min="1" max="1" width="10" customWidth="1"/>
    <col min="2" max="2" width="22" customWidth="1"/>
    <col min="3" max="3" width="30" customWidth="1"/>
    <col min="4" max="4" width="50" customWidth="1"/>
    <col min="5" max="5" width="30" customWidth="1"/>
    <col min="6" max="6" width="14" customWidth="1"/>
    <col min="7" max="7" width="45" customWidth="1"/>
    <col min="8" max="8" width="35" customWidth="1"/>
  </cols>
  <sheetData>
    <row r="1" spans="1:8" ht="21.75" customHeight="1" x14ac:dyDescent="0.35">
      <c r="A1" s="37" t="s">
        <v>2654</v>
      </c>
      <c r="B1" s="36"/>
      <c r="C1" s="36"/>
      <c r="D1" s="36"/>
      <c r="E1" s="36"/>
      <c r="F1" s="36"/>
      <c r="G1" s="36"/>
      <c r="H1" s="36"/>
    </row>
    <row r="2" spans="1:8" ht="21.75" customHeight="1" x14ac:dyDescent="0.35">
      <c r="A2" s="1" t="s">
        <v>2655</v>
      </c>
      <c r="B2" s="1" t="s">
        <v>2656</v>
      </c>
      <c r="C2" s="1" t="s">
        <v>2657</v>
      </c>
      <c r="D2" s="1" t="s">
        <v>2658</v>
      </c>
      <c r="E2" s="1" t="s">
        <v>2659</v>
      </c>
      <c r="F2" s="1" t="s">
        <v>2660</v>
      </c>
      <c r="G2" s="1" t="s">
        <v>2661</v>
      </c>
      <c r="H2" s="1" t="s">
        <v>2662</v>
      </c>
    </row>
    <row r="3" spans="1:8" ht="45" customHeight="1" x14ac:dyDescent="0.35">
      <c r="A3" s="2" t="s">
        <v>2663</v>
      </c>
      <c r="B3" s="2" t="s">
        <v>2664</v>
      </c>
      <c r="C3" s="3" t="s">
        <v>2665</v>
      </c>
      <c r="D3" s="3" t="s">
        <v>2666</v>
      </c>
      <c r="E3" s="3" t="s">
        <v>2667</v>
      </c>
      <c r="F3" s="3" t="s">
        <v>2668</v>
      </c>
      <c r="G3" s="3" t="s">
        <v>2669</v>
      </c>
      <c r="H3" s="3" t="s">
        <v>2670</v>
      </c>
    </row>
    <row r="4" spans="1:8" ht="45" customHeight="1" x14ac:dyDescent="0.35">
      <c r="A4" s="4" t="s">
        <v>2671</v>
      </c>
      <c r="B4" s="4" t="s">
        <v>2664</v>
      </c>
      <c r="C4" s="5" t="s">
        <v>2672</v>
      </c>
      <c r="D4" s="5" t="s">
        <v>2673</v>
      </c>
      <c r="E4" s="5" t="s">
        <v>2674</v>
      </c>
      <c r="F4" s="5" t="s">
        <v>2668</v>
      </c>
      <c r="G4" s="5" t="s">
        <v>2675</v>
      </c>
      <c r="H4" s="5" t="s">
        <v>2670</v>
      </c>
    </row>
    <row r="5" spans="1:8" ht="45" customHeight="1" x14ac:dyDescent="0.35">
      <c r="A5" s="2" t="s">
        <v>2676</v>
      </c>
      <c r="B5" s="2" t="s">
        <v>2677</v>
      </c>
      <c r="C5" s="3" t="s">
        <v>2678</v>
      </c>
      <c r="D5" s="3" t="s">
        <v>2679</v>
      </c>
      <c r="E5" s="3" t="s">
        <v>43</v>
      </c>
      <c r="F5" s="3" t="s">
        <v>2668</v>
      </c>
      <c r="G5" s="3" t="s">
        <v>2680</v>
      </c>
      <c r="H5" s="3" t="s">
        <v>2681</v>
      </c>
    </row>
    <row r="6" spans="1:8" ht="45" customHeight="1" x14ac:dyDescent="0.35">
      <c r="A6" s="4" t="s">
        <v>2682</v>
      </c>
      <c r="B6" s="4" t="s">
        <v>2677</v>
      </c>
      <c r="C6" s="5" t="s">
        <v>2683</v>
      </c>
      <c r="D6" s="5" t="s">
        <v>2684</v>
      </c>
      <c r="E6" s="5" t="s">
        <v>2674</v>
      </c>
      <c r="F6" s="5" t="s">
        <v>2668</v>
      </c>
      <c r="G6" s="5" t="s">
        <v>2685</v>
      </c>
      <c r="H6" s="5" t="s">
        <v>2686</v>
      </c>
    </row>
    <row r="7" spans="1:8" ht="45" customHeight="1" x14ac:dyDescent="0.35">
      <c r="A7" s="2" t="s">
        <v>2687</v>
      </c>
      <c r="B7" s="2" t="s">
        <v>2688</v>
      </c>
      <c r="C7" s="3" t="s">
        <v>2689</v>
      </c>
      <c r="D7" s="3" t="s">
        <v>2690</v>
      </c>
      <c r="E7" s="3" t="s">
        <v>147</v>
      </c>
      <c r="F7" s="3" t="s">
        <v>2668</v>
      </c>
      <c r="G7" s="3" t="s">
        <v>2691</v>
      </c>
      <c r="H7" s="3" t="s">
        <v>2692</v>
      </c>
    </row>
    <row r="8" spans="1:8" ht="45" customHeight="1" x14ac:dyDescent="0.35">
      <c r="A8" s="4" t="s">
        <v>2693</v>
      </c>
      <c r="B8" s="4" t="s">
        <v>2688</v>
      </c>
      <c r="C8" s="5" t="s">
        <v>2694</v>
      </c>
      <c r="D8" s="5" t="s">
        <v>2695</v>
      </c>
      <c r="E8" s="5" t="s">
        <v>133</v>
      </c>
      <c r="F8" s="5" t="s">
        <v>2668</v>
      </c>
      <c r="G8" s="5" t="s">
        <v>2696</v>
      </c>
      <c r="H8" s="5" t="s">
        <v>2697</v>
      </c>
    </row>
    <row r="9" spans="1:8" ht="45" customHeight="1" x14ac:dyDescent="0.35">
      <c r="A9" s="2" t="s">
        <v>2698</v>
      </c>
      <c r="B9" s="2" t="s">
        <v>2699</v>
      </c>
      <c r="C9" s="3" t="s">
        <v>2700</v>
      </c>
      <c r="D9" s="3" t="s">
        <v>2701</v>
      </c>
      <c r="E9" s="3" t="s">
        <v>133</v>
      </c>
      <c r="F9" s="3" t="s">
        <v>2702</v>
      </c>
      <c r="G9" s="3" t="s">
        <v>2703</v>
      </c>
      <c r="H9" s="3" t="s">
        <v>2697</v>
      </c>
    </row>
    <row r="10" spans="1:8" ht="45" customHeight="1" x14ac:dyDescent="0.35">
      <c r="A10" s="4" t="s">
        <v>2704</v>
      </c>
      <c r="B10" s="4" t="s">
        <v>2699</v>
      </c>
      <c r="C10" s="5" t="s">
        <v>2705</v>
      </c>
      <c r="D10" s="5" t="s">
        <v>2706</v>
      </c>
      <c r="E10" s="5" t="s">
        <v>43</v>
      </c>
      <c r="F10" s="5" t="s">
        <v>2702</v>
      </c>
      <c r="G10" s="5" t="s">
        <v>2707</v>
      </c>
      <c r="H10" s="5" t="s">
        <v>2670</v>
      </c>
    </row>
    <row r="11" spans="1:8" ht="45" customHeight="1" x14ac:dyDescent="0.35">
      <c r="A11" s="2" t="s">
        <v>2708</v>
      </c>
      <c r="B11" s="2" t="s">
        <v>2699</v>
      </c>
      <c r="C11" s="3" t="s">
        <v>2709</v>
      </c>
      <c r="D11" s="3" t="s">
        <v>2710</v>
      </c>
      <c r="E11" s="3" t="s">
        <v>57</v>
      </c>
      <c r="F11" s="3" t="s">
        <v>2668</v>
      </c>
      <c r="G11" s="3" t="s">
        <v>2711</v>
      </c>
      <c r="H11" s="3" t="s">
        <v>2681</v>
      </c>
    </row>
    <row r="12" spans="1:8" ht="45" customHeight="1" x14ac:dyDescent="0.35">
      <c r="A12" s="4" t="s">
        <v>2712</v>
      </c>
      <c r="B12" s="4" t="s">
        <v>2713</v>
      </c>
      <c r="C12" s="5" t="s">
        <v>2714</v>
      </c>
      <c r="D12" s="5" t="s">
        <v>2715</v>
      </c>
      <c r="E12" s="5" t="s">
        <v>2716</v>
      </c>
      <c r="F12" s="5" t="s">
        <v>2717</v>
      </c>
      <c r="G12" s="5" t="s">
        <v>2718</v>
      </c>
      <c r="H12" s="5" t="s">
        <v>2692</v>
      </c>
    </row>
    <row r="13" spans="1:8" ht="45" customHeight="1" x14ac:dyDescent="0.35">
      <c r="A13" s="2" t="s">
        <v>2719</v>
      </c>
      <c r="B13" s="2" t="s">
        <v>2713</v>
      </c>
      <c r="C13" s="3" t="s">
        <v>2720</v>
      </c>
      <c r="D13" s="3" t="s">
        <v>2721</v>
      </c>
      <c r="E13" s="3" t="s">
        <v>57</v>
      </c>
      <c r="F13" s="3" t="s">
        <v>2668</v>
      </c>
      <c r="G13" s="3" t="s">
        <v>2722</v>
      </c>
      <c r="H13" s="3" t="s">
        <v>2670</v>
      </c>
    </row>
    <row r="14" spans="1:8" ht="45" customHeight="1" x14ac:dyDescent="0.35">
      <c r="A14" s="4" t="s">
        <v>2723</v>
      </c>
      <c r="B14" s="4" t="s">
        <v>2713</v>
      </c>
      <c r="C14" s="5" t="s">
        <v>2724</v>
      </c>
      <c r="D14" s="5" t="s">
        <v>2725</v>
      </c>
      <c r="E14" s="5" t="s">
        <v>163</v>
      </c>
      <c r="F14" s="5" t="s">
        <v>2717</v>
      </c>
      <c r="G14" s="5" t="s">
        <v>2726</v>
      </c>
      <c r="H14" s="5" t="s">
        <v>2727</v>
      </c>
    </row>
    <row r="15" spans="1:8" ht="45" customHeight="1" x14ac:dyDescent="0.35">
      <c r="A15" s="2" t="s">
        <v>2728</v>
      </c>
      <c r="B15" s="2" t="s">
        <v>2729</v>
      </c>
      <c r="C15" s="3" t="s">
        <v>2730</v>
      </c>
      <c r="D15" s="3" t="s">
        <v>2731</v>
      </c>
      <c r="E15" s="3" t="s">
        <v>133</v>
      </c>
      <c r="F15" s="3" t="s">
        <v>2702</v>
      </c>
      <c r="G15" s="3" t="s">
        <v>2732</v>
      </c>
      <c r="H15" s="3" t="s">
        <v>2697</v>
      </c>
    </row>
    <row r="16" spans="1:8" ht="45" customHeight="1" x14ac:dyDescent="0.35">
      <c r="A16" s="4" t="s">
        <v>2733</v>
      </c>
      <c r="B16" s="4" t="s">
        <v>2729</v>
      </c>
      <c r="C16" s="5" t="s">
        <v>2734</v>
      </c>
      <c r="D16" s="5" t="s">
        <v>2735</v>
      </c>
      <c r="E16" s="5" t="s">
        <v>103</v>
      </c>
      <c r="F16" s="5" t="s">
        <v>2668</v>
      </c>
      <c r="G16" s="5" t="s">
        <v>2736</v>
      </c>
      <c r="H16" s="5" t="s">
        <v>2681</v>
      </c>
    </row>
    <row r="17" spans="1:8" ht="45" customHeight="1" x14ac:dyDescent="0.35">
      <c r="A17" s="2" t="s">
        <v>2737</v>
      </c>
      <c r="B17" s="2" t="s">
        <v>2738</v>
      </c>
      <c r="C17" s="3" t="s">
        <v>2739</v>
      </c>
      <c r="D17" s="3" t="s">
        <v>2740</v>
      </c>
      <c r="E17" s="3" t="s">
        <v>163</v>
      </c>
      <c r="F17" s="3" t="s">
        <v>2717</v>
      </c>
      <c r="G17" s="3" t="s">
        <v>2741</v>
      </c>
      <c r="H17" s="3" t="s">
        <v>2742</v>
      </c>
    </row>
    <row r="18" spans="1:8" ht="45" customHeight="1" x14ac:dyDescent="0.35">
      <c r="A18" s="4" t="s">
        <v>2743</v>
      </c>
      <c r="B18" s="4" t="s">
        <v>2738</v>
      </c>
      <c r="C18" s="5" t="s">
        <v>1170</v>
      </c>
      <c r="D18" s="5" t="s">
        <v>2744</v>
      </c>
      <c r="E18" s="5" t="s">
        <v>163</v>
      </c>
      <c r="F18" s="5" t="s">
        <v>2668</v>
      </c>
      <c r="G18" s="5" t="s">
        <v>2745</v>
      </c>
      <c r="H18" s="5" t="s">
        <v>2742</v>
      </c>
    </row>
    <row r="19" spans="1:8" ht="45" customHeight="1" x14ac:dyDescent="0.35">
      <c r="A19" s="2" t="s">
        <v>2746</v>
      </c>
      <c r="B19" s="2" t="s">
        <v>2747</v>
      </c>
      <c r="C19" s="3" t="s">
        <v>2748</v>
      </c>
      <c r="D19" s="3" t="s">
        <v>2749</v>
      </c>
      <c r="E19" s="3" t="s">
        <v>177</v>
      </c>
      <c r="F19" s="3" t="s">
        <v>2668</v>
      </c>
      <c r="G19" s="3" t="s">
        <v>2750</v>
      </c>
      <c r="H19" s="3" t="s">
        <v>2692</v>
      </c>
    </row>
    <row r="20" spans="1:8" ht="45" customHeight="1" x14ac:dyDescent="0.35">
      <c r="A20" s="4" t="s">
        <v>2751</v>
      </c>
      <c r="B20" s="4" t="s">
        <v>2752</v>
      </c>
      <c r="C20" s="5" t="s">
        <v>2753</v>
      </c>
      <c r="D20" s="5" t="s">
        <v>2754</v>
      </c>
      <c r="E20" s="5" t="s">
        <v>147</v>
      </c>
      <c r="F20" s="5" t="s">
        <v>2668</v>
      </c>
      <c r="G20" s="5" t="s">
        <v>2755</v>
      </c>
      <c r="H20" s="5" t="s">
        <v>2756</v>
      </c>
    </row>
    <row r="21" spans="1:8" ht="45" customHeight="1" x14ac:dyDescent="0.35">
      <c r="A21" s="2" t="s">
        <v>2757</v>
      </c>
      <c r="B21" s="2" t="s">
        <v>2752</v>
      </c>
      <c r="C21" s="3" t="s">
        <v>2758</v>
      </c>
      <c r="D21" s="3" t="s">
        <v>2759</v>
      </c>
      <c r="E21" s="3" t="s">
        <v>147</v>
      </c>
      <c r="F21" s="3" t="s">
        <v>2668</v>
      </c>
      <c r="G21" s="3" t="s">
        <v>2760</v>
      </c>
      <c r="H21" s="3" t="s">
        <v>2670</v>
      </c>
    </row>
    <row r="22" spans="1:8" ht="45" customHeight="1" x14ac:dyDescent="0.35">
      <c r="A22" s="4" t="s">
        <v>2761</v>
      </c>
      <c r="B22" s="4" t="s">
        <v>2752</v>
      </c>
      <c r="C22" s="5" t="s">
        <v>2762</v>
      </c>
      <c r="D22" s="5" t="s">
        <v>2763</v>
      </c>
      <c r="E22" s="5" t="s">
        <v>2764</v>
      </c>
      <c r="F22" s="5" t="s">
        <v>2668</v>
      </c>
      <c r="G22" s="5" t="s">
        <v>2765</v>
      </c>
      <c r="H22" s="5" t="s">
        <v>2670</v>
      </c>
    </row>
    <row r="23" spans="1:8" ht="45" customHeight="1" x14ac:dyDescent="0.35">
      <c r="A23" s="2" t="s">
        <v>2766</v>
      </c>
      <c r="B23" s="2" t="s">
        <v>2767</v>
      </c>
      <c r="C23" s="3" t="s">
        <v>2768</v>
      </c>
      <c r="D23" s="3" t="s">
        <v>2769</v>
      </c>
      <c r="E23" s="3" t="s">
        <v>87</v>
      </c>
      <c r="F23" s="3" t="s">
        <v>2668</v>
      </c>
      <c r="G23" s="3" t="s">
        <v>2770</v>
      </c>
      <c r="H23" s="3" t="s">
        <v>2692</v>
      </c>
    </row>
    <row r="24" spans="1:8" ht="45" customHeight="1" x14ac:dyDescent="0.35">
      <c r="A24" s="4" t="s">
        <v>2771</v>
      </c>
      <c r="B24" s="4" t="s">
        <v>2767</v>
      </c>
      <c r="C24" s="5" t="s">
        <v>2772</v>
      </c>
      <c r="D24" s="5" t="s">
        <v>2773</v>
      </c>
      <c r="E24" s="5" t="s">
        <v>87</v>
      </c>
      <c r="F24" s="5" t="s">
        <v>2668</v>
      </c>
      <c r="G24" s="5" t="s">
        <v>2774</v>
      </c>
      <c r="H24" s="5" t="s">
        <v>2775</v>
      </c>
    </row>
    <row r="25" spans="1:8" ht="45" customHeight="1" x14ac:dyDescent="0.35">
      <c r="A25" s="2" t="s">
        <v>2776</v>
      </c>
      <c r="B25" s="2" t="s">
        <v>2777</v>
      </c>
      <c r="C25" s="3" t="s">
        <v>2778</v>
      </c>
      <c r="D25" s="3" t="s">
        <v>2779</v>
      </c>
      <c r="E25" s="3" t="s">
        <v>103</v>
      </c>
      <c r="F25" s="3" t="s">
        <v>2668</v>
      </c>
      <c r="G25" s="3" t="s">
        <v>2780</v>
      </c>
      <c r="H25" s="3" t="s">
        <v>2681</v>
      </c>
    </row>
    <row r="26" spans="1:8" ht="45" customHeight="1" x14ac:dyDescent="0.35">
      <c r="A26" s="4" t="s">
        <v>2781</v>
      </c>
      <c r="B26" s="4" t="s">
        <v>2777</v>
      </c>
      <c r="C26" s="5" t="s">
        <v>2782</v>
      </c>
      <c r="D26" s="5" t="s">
        <v>2783</v>
      </c>
      <c r="E26" s="5" t="s">
        <v>117</v>
      </c>
      <c r="F26" s="5" t="s">
        <v>2668</v>
      </c>
      <c r="G26" s="5" t="s">
        <v>2784</v>
      </c>
      <c r="H26" s="5" t="s">
        <v>2692</v>
      </c>
    </row>
    <row r="27" spans="1:8" ht="45" customHeight="1" x14ac:dyDescent="0.35">
      <c r="A27" s="2" t="s">
        <v>2785</v>
      </c>
      <c r="B27" s="2" t="s">
        <v>2777</v>
      </c>
      <c r="C27" s="3" t="s">
        <v>2786</v>
      </c>
      <c r="D27" s="3" t="s">
        <v>2787</v>
      </c>
      <c r="E27" s="3" t="s">
        <v>103</v>
      </c>
      <c r="F27" s="3" t="s">
        <v>2668</v>
      </c>
      <c r="G27" s="3" t="s">
        <v>2788</v>
      </c>
      <c r="H27" s="3" t="s">
        <v>2681</v>
      </c>
    </row>
    <row r="28" spans="1:8" ht="45" customHeight="1" x14ac:dyDescent="0.35">
      <c r="A28" s="4" t="s">
        <v>2789</v>
      </c>
      <c r="B28" s="4" t="s">
        <v>2790</v>
      </c>
      <c r="C28" s="5" t="s">
        <v>2791</v>
      </c>
      <c r="D28" s="5" t="s">
        <v>2792</v>
      </c>
      <c r="E28" s="5" t="s">
        <v>133</v>
      </c>
      <c r="F28" s="5" t="s">
        <v>2702</v>
      </c>
      <c r="G28" s="5" t="s">
        <v>2793</v>
      </c>
      <c r="H28" s="5" t="s">
        <v>2697</v>
      </c>
    </row>
    <row r="29" spans="1:8" ht="45" customHeight="1" x14ac:dyDescent="0.35">
      <c r="A29" s="2" t="s">
        <v>2794</v>
      </c>
      <c r="B29" s="2" t="s">
        <v>2790</v>
      </c>
      <c r="C29" s="3" t="s">
        <v>2795</v>
      </c>
      <c r="D29" s="3" t="s">
        <v>2796</v>
      </c>
      <c r="E29" s="3" t="s">
        <v>133</v>
      </c>
      <c r="F29" s="3" t="s">
        <v>2668</v>
      </c>
      <c r="G29" s="3" t="s">
        <v>2797</v>
      </c>
      <c r="H29" s="3" t="s">
        <v>2670</v>
      </c>
    </row>
    <row r="30" spans="1:8" ht="45" customHeight="1" x14ac:dyDescent="0.35">
      <c r="A30" s="4" t="s">
        <v>2798</v>
      </c>
      <c r="B30" s="4" t="s">
        <v>2790</v>
      </c>
      <c r="C30" s="5" t="s">
        <v>2799</v>
      </c>
      <c r="D30" s="5" t="s">
        <v>2800</v>
      </c>
      <c r="E30" s="5" t="s">
        <v>133</v>
      </c>
      <c r="F30" s="5" t="s">
        <v>2702</v>
      </c>
      <c r="G30" s="5" t="s">
        <v>2801</v>
      </c>
      <c r="H30" s="5" t="s">
        <v>2697</v>
      </c>
    </row>
    <row r="31" spans="1:8" ht="45" customHeight="1" x14ac:dyDescent="0.35">
      <c r="A31" s="2" t="s">
        <v>2802</v>
      </c>
      <c r="B31" s="2" t="s">
        <v>2803</v>
      </c>
      <c r="C31" s="3" t="s">
        <v>2804</v>
      </c>
      <c r="D31" s="3" t="s">
        <v>2805</v>
      </c>
      <c r="E31" s="3" t="s">
        <v>177</v>
      </c>
      <c r="F31" s="3" t="s">
        <v>2717</v>
      </c>
      <c r="G31" s="3" t="s">
        <v>2806</v>
      </c>
      <c r="H31" s="3" t="s">
        <v>2692</v>
      </c>
    </row>
    <row r="32" spans="1:8" ht="45" customHeight="1" x14ac:dyDescent="0.35">
      <c r="A32" s="4" t="s">
        <v>2807</v>
      </c>
      <c r="B32" s="4" t="s">
        <v>2803</v>
      </c>
      <c r="C32" s="5" t="s">
        <v>2808</v>
      </c>
      <c r="D32" s="5" t="s">
        <v>2809</v>
      </c>
      <c r="E32" s="5" t="s">
        <v>177</v>
      </c>
      <c r="F32" s="5" t="s">
        <v>2717</v>
      </c>
      <c r="G32" s="5" t="s">
        <v>2810</v>
      </c>
      <c r="H32" s="5" t="s">
        <v>2692</v>
      </c>
    </row>
  </sheetData>
  <autoFilter ref="A2:H2" xr:uid="{00000000-0009-0000-0000-000009000000}"/>
  <mergeCells count="1">
    <mergeCell ref="A1:H1"/>
  </mergeCells>
  <pageMargins left="0.75" right="0.75" top="1" bottom="1" header="0.511811023622047" footer="0.511811023622047"/>
  <pageSetup paperSize="9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ED7D31"/>
  </sheetPr>
  <dimension ref="A1:M65"/>
  <sheetViews>
    <sheetView showGridLines="0" tabSelected="1" zoomScale="27" zoomScaleNormal="100" workbookViewId="0">
      <pane xSplit="6" ySplit="2" topLeftCell="G47" activePane="bottomRight" state="frozen"/>
      <selection pane="topRight" activeCell="G1" sqref="G1"/>
      <selection pane="bottomLeft" activeCell="A3" sqref="A3"/>
      <selection pane="bottomRight" activeCell="G78" sqref="G78"/>
    </sheetView>
  </sheetViews>
  <sheetFormatPr baseColWidth="10" defaultColWidth="8.6328125" defaultRowHeight="14.5" x14ac:dyDescent="0.35"/>
  <cols>
    <col min="1" max="1" width="15" customWidth="1"/>
    <col min="2" max="3" width="12" customWidth="1"/>
    <col min="4" max="6" width="8" customWidth="1"/>
    <col min="7" max="7" width="55" customWidth="1"/>
    <col min="8" max="8" width="14" customWidth="1"/>
    <col min="9" max="9" width="20" customWidth="1"/>
    <col min="10" max="10" width="35" customWidth="1"/>
    <col min="11" max="13" width="14" customWidth="1"/>
  </cols>
  <sheetData>
    <row r="1" spans="1:13" ht="21.75" customHeight="1" x14ac:dyDescent="0.35">
      <c r="A1" s="37" t="s">
        <v>2811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</row>
    <row r="2" spans="1:13" ht="42.75" customHeight="1" x14ac:dyDescent="0.35">
      <c r="A2" s="1" t="s">
        <v>4</v>
      </c>
      <c r="B2" s="1" t="s">
        <v>7</v>
      </c>
      <c r="C2" s="1" t="s">
        <v>647</v>
      </c>
      <c r="D2" s="1" t="s">
        <v>31</v>
      </c>
      <c r="E2" s="1" t="s">
        <v>33</v>
      </c>
      <c r="F2" s="1" t="s">
        <v>35</v>
      </c>
      <c r="G2" s="1" t="s">
        <v>650</v>
      </c>
      <c r="H2" s="1" t="s">
        <v>2812</v>
      </c>
      <c r="I2" s="1" t="s">
        <v>2813</v>
      </c>
      <c r="J2" s="1" t="s">
        <v>2814</v>
      </c>
      <c r="K2" s="1" t="s">
        <v>2815</v>
      </c>
      <c r="L2" s="1" t="s">
        <v>2816</v>
      </c>
      <c r="M2" s="1" t="s">
        <v>606</v>
      </c>
    </row>
    <row r="3" spans="1:13" ht="37.5" customHeight="1" x14ac:dyDescent="0.35">
      <c r="A3" s="3" t="str">
        <f>ASSESSMENT_METADATA!B3</f>
        <v>JESA-ASSESS-001</v>
      </c>
      <c r="B3" s="3">
        <f>ASSESSMENT_METADATA!B4</f>
        <v>0</v>
      </c>
      <c r="C3" s="2" t="s">
        <v>659</v>
      </c>
      <c r="D3" s="24" t="s">
        <v>41</v>
      </c>
      <c r="E3" s="2" t="s">
        <v>43</v>
      </c>
      <c r="F3" s="2" t="s">
        <v>45</v>
      </c>
      <c r="G3" s="3" t="s">
        <v>2817</v>
      </c>
      <c r="H3" s="35">
        <v>1</v>
      </c>
      <c r="I3" s="3"/>
      <c r="J3" s="3"/>
      <c r="K3" s="8" t="s">
        <v>2717</v>
      </c>
      <c r="L3" s="8" t="s">
        <v>2818</v>
      </c>
      <c r="M3" s="8" t="s">
        <v>2819</v>
      </c>
    </row>
    <row r="4" spans="1:13" ht="37.5" customHeight="1" x14ac:dyDescent="0.35">
      <c r="A4" s="5" t="str">
        <f>ASSESSMENT_METADATA!B3</f>
        <v>JESA-ASSESS-001</v>
      </c>
      <c r="B4" s="5">
        <f>ASSESSMENT_METADATA!B4</f>
        <v>0</v>
      </c>
      <c r="C4" s="4" t="s">
        <v>670</v>
      </c>
      <c r="D4" s="24" t="s">
        <v>41</v>
      </c>
      <c r="E4" s="4" t="s">
        <v>43</v>
      </c>
      <c r="F4" s="4" t="s">
        <v>45</v>
      </c>
      <c r="G4" s="5" t="s">
        <v>2820</v>
      </c>
      <c r="H4" s="35">
        <v>3</v>
      </c>
      <c r="I4" s="5"/>
      <c r="J4" s="5"/>
      <c r="K4" s="8" t="s">
        <v>2717</v>
      </c>
      <c r="L4" s="8" t="s">
        <v>2818</v>
      </c>
      <c r="M4" s="8" t="s">
        <v>2819</v>
      </c>
    </row>
    <row r="5" spans="1:13" ht="37.5" customHeight="1" x14ac:dyDescent="0.35">
      <c r="A5" s="3" t="str">
        <f>ASSESSMENT_METADATA!B3</f>
        <v>JESA-ASSESS-001</v>
      </c>
      <c r="B5" s="3">
        <f>ASSESSMENT_METADATA!B4</f>
        <v>0</v>
      </c>
      <c r="C5" s="2" t="s">
        <v>682</v>
      </c>
      <c r="D5" s="24" t="s">
        <v>41</v>
      </c>
      <c r="E5" s="2" t="s">
        <v>43</v>
      </c>
      <c r="F5" s="2" t="s">
        <v>45</v>
      </c>
      <c r="G5" s="3" t="s">
        <v>2821</v>
      </c>
      <c r="H5" s="35">
        <v>2</v>
      </c>
      <c r="I5" s="3"/>
      <c r="J5" s="3"/>
      <c r="K5" s="8" t="s">
        <v>2717</v>
      </c>
      <c r="L5" s="8" t="s">
        <v>2818</v>
      </c>
      <c r="M5" s="8" t="s">
        <v>2819</v>
      </c>
    </row>
    <row r="6" spans="1:13" ht="37.5" customHeight="1" x14ac:dyDescent="0.35">
      <c r="A6" s="5" t="str">
        <f>ASSESSMENT_METADATA!B3</f>
        <v>JESA-ASSESS-001</v>
      </c>
      <c r="B6" s="5">
        <f>ASSESSMENT_METADATA!B4</f>
        <v>0</v>
      </c>
      <c r="C6" s="4" t="s">
        <v>693</v>
      </c>
      <c r="D6" s="24" t="s">
        <v>41</v>
      </c>
      <c r="E6" s="4" t="s">
        <v>43</v>
      </c>
      <c r="F6" s="4" t="s">
        <v>51</v>
      </c>
      <c r="G6" s="5" t="s">
        <v>2822</v>
      </c>
      <c r="H6" s="35">
        <v>4</v>
      </c>
      <c r="I6" s="5"/>
      <c r="J6" s="5"/>
      <c r="K6" s="8" t="s">
        <v>2717</v>
      </c>
      <c r="L6" s="8" t="s">
        <v>2818</v>
      </c>
      <c r="M6" s="8" t="s">
        <v>2819</v>
      </c>
    </row>
    <row r="7" spans="1:13" ht="37.5" customHeight="1" x14ac:dyDescent="0.35">
      <c r="A7" s="3" t="str">
        <f>ASSESSMENT_METADATA!B3</f>
        <v>JESA-ASSESS-001</v>
      </c>
      <c r="B7" s="3">
        <f>ASSESSMENT_METADATA!B4</f>
        <v>0</v>
      </c>
      <c r="C7" s="2" t="s">
        <v>703</v>
      </c>
      <c r="D7" s="24" t="s">
        <v>41</v>
      </c>
      <c r="E7" s="2" t="s">
        <v>43</v>
      </c>
      <c r="F7" s="2" t="s">
        <v>51</v>
      </c>
      <c r="G7" s="3" t="s">
        <v>2823</v>
      </c>
      <c r="H7" s="35">
        <v>3</v>
      </c>
      <c r="I7" s="3"/>
      <c r="J7" s="3"/>
      <c r="K7" s="8" t="s">
        <v>2717</v>
      </c>
      <c r="L7" s="8" t="s">
        <v>2818</v>
      </c>
      <c r="M7" s="8" t="s">
        <v>2819</v>
      </c>
    </row>
    <row r="8" spans="1:13" ht="37.5" customHeight="1" x14ac:dyDescent="0.35">
      <c r="A8" s="5" t="str">
        <f>ASSESSMENT_METADATA!B3</f>
        <v>JESA-ASSESS-001</v>
      </c>
      <c r="B8" s="5">
        <f>ASSESSMENT_METADATA!B4</f>
        <v>0</v>
      </c>
      <c r="C8" s="4" t="s">
        <v>713</v>
      </c>
      <c r="D8" s="24" t="s">
        <v>41</v>
      </c>
      <c r="E8" s="4" t="s">
        <v>43</v>
      </c>
      <c r="F8" s="4" t="s">
        <v>51</v>
      </c>
      <c r="G8" s="5" t="s">
        <v>2824</v>
      </c>
      <c r="H8" s="35">
        <v>2</v>
      </c>
      <c r="I8" s="5"/>
      <c r="J8" s="5"/>
      <c r="K8" s="8" t="s">
        <v>2717</v>
      </c>
      <c r="L8" s="8" t="s">
        <v>2818</v>
      </c>
      <c r="M8" s="8" t="s">
        <v>2819</v>
      </c>
    </row>
    <row r="9" spans="1:13" ht="37.5" customHeight="1" x14ac:dyDescent="0.35">
      <c r="A9" s="3" t="str">
        <f>ASSESSMENT_METADATA!B3</f>
        <v>JESA-ASSESS-001</v>
      </c>
      <c r="B9" s="3">
        <f>ASSESSMENT_METADATA!B4</f>
        <v>0</v>
      </c>
      <c r="C9" s="2" t="s">
        <v>722</v>
      </c>
      <c r="D9" s="24" t="s">
        <v>41</v>
      </c>
      <c r="E9" s="2" t="s">
        <v>57</v>
      </c>
      <c r="F9" s="2" t="s">
        <v>59</v>
      </c>
      <c r="G9" s="3" t="s">
        <v>2825</v>
      </c>
      <c r="H9" s="35">
        <v>2</v>
      </c>
      <c r="I9" s="3"/>
      <c r="J9" s="3"/>
      <c r="K9" s="8" t="s">
        <v>2717</v>
      </c>
      <c r="L9" s="8" t="s">
        <v>2818</v>
      </c>
      <c r="M9" s="8" t="s">
        <v>2819</v>
      </c>
    </row>
    <row r="10" spans="1:13" ht="37.5" customHeight="1" x14ac:dyDescent="0.35">
      <c r="A10" s="5" t="str">
        <f>ASSESSMENT_METADATA!B3</f>
        <v>JESA-ASSESS-001</v>
      </c>
      <c r="B10" s="5">
        <f>ASSESSMENT_METADATA!B4</f>
        <v>0</v>
      </c>
      <c r="C10" s="4" t="s">
        <v>732</v>
      </c>
      <c r="D10" s="24" t="s">
        <v>41</v>
      </c>
      <c r="E10" s="4" t="s">
        <v>57</v>
      </c>
      <c r="F10" s="4" t="s">
        <v>59</v>
      </c>
      <c r="G10" s="5" t="s">
        <v>2826</v>
      </c>
      <c r="H10" s="35">
        <v>2</v>
      </c>
      <c r="I10" s="5"/>
      <c r="J10" s="5"/>
      <c r="K10" s="8" t="s">
        <v>2717</v>
      </c>
      <c r="L10" s="8" t="s">
        <v>2818</v>
      </c>
      <c r="M10" s="8" t="s">
        <v>2819</v>
      </c>
    </row>
    <row r="11" spans="1:13" ht="37.5" customHeight="1" x14ac:dyDescent="0.35">
      <c r="A11" s="3" t="str">
        <f>ASSESSMENT_METADATA!B3</f>
        <v>JESA-ASSESS-001</v>
      </c>
      <c r="B11" s="3">
        <f>ASSESSMENT_METADATA!B4</f>
        <v>0</v>
      </c>
      <c r="C11" s="2" t="s">
        <v>743</v>
      </c>
      <c r="D11" s="24" t="s">
        <v>41</v>
      </c>
      <c r="E11" s="2" t="s">
        <v>57</v>
      </c>
      <c r="F11" s="2" t="s">
        <v>59</v>
      </c>
      <c r="G11" s="3" t="s">
        <v>2827</v>
      </c>
      <c r="H11" s="35">
        <v>3</v>
      </c>
      <c r="I11" s="3"/>
      <c r="J11" s="3"/>
      <c r="K11" s="8" t="s">
        <v>2717</v>
      </c>
      <c r="L11" s="8" t="s">
        <v>2818</v>
      </c>
      <c r="M11" s="8" t="s">
        <v>2819</v>
      </c>
    </row>
    <row r="12" spans="1:13" ht="37.5" customHeight="1" x14ac:dyDescent="0.35">
      <c r="A12" s="5" t="str">
        <f>ASSESSMENT_METADATA!B3</f>
        <v>JESA-ASSESS-001</v>
      </c>
      <c r="B12" s="5">
        <f>ASSESSMENT_METADATA!B4</f>
        <v>0</v>
      </c>
      <c r="C12" s="4" t="s">
        <v>752</v>
      </c>
      <c r="D12" s="24" t="s">
        <v>41</v>
      </c>
      <c r="E12" s="4" t="s">
        <v>57</v>
      </c>
      <c r="F12" s="4" t="s">
        <v>65</v>
      </c>
      <c r="G12" s="5" t="s">
        <v>2828</v>
      </c>
      <c r="H12" s="35">
        <v>3</v>
      </c>
      <c r="I12" s="5"/>
      <c r="J12" s="5"/>
      <c r="K12" s="8" t="s">
        <v>2717</v>
      </c>
      <c r="L12" s="8" t="s">
        <v>2818</v>
      </c>
      <c r="M12" s="8" t="s">
        <v>2819</v>
      </c>
    </row>
    <row r="13" spans="1:13" ht="37.5" customHeight="1" x14ac:dyDescent="0.35">
      <c r="A13" s="3" t="str">
        <f>ASSESSMENT_METADATA!B3</f>
        <v>JESA-ASSESS-001</v>
      </c>
      <c r="B13" s="3">
        <f>ASSESSMENT_METADATA!B4</f>
        <v>0</v>
      </c>
      <c r="C13" s="2" t="s">
        <v>762</v>
      </c>
      <c r="D13" s="24" t="s">
        <v>41</v>
      </c>
      <c r="E13" s="2" t="s">
        <v>57</v>
      </c>
      <c r="F13" s="2" t="s">
        <v>65</v>
      </c>
      <c r="G13" s="3" t="s">
        <v>2829</v>
      </c>
      <c r="H13" s="35">
        <v>3</v>
      </c>
      <c r="I13" s="3"/>
      <c r="J13" s="3"/>
      <c r="K13" s="8" t="s">
        <v>2717</v>
      </c>
      <c r="L13" s="8" t="s">
        <v>2818</v>
      </c>
      <c r="M13" s="8" t="s">
        <v>2819</v>
      </c>
    </row>
    <row r="14" spans="1:13" ht="37.5" customHeight="1" x14ac:dyDescent="0.35">
      <c r="A14" s="5" t="str">
        <f>ASSESSMENT_METADATA!B3</f>
        <v>JESA-ASSESS-001</v>
      </c>
      <c r="B14" s="5">
        <f>ASSESSMENT_METADATA!B4</f>
        <v>0</v>
      </c>
      <c r="C14" s="4" t="s">
        <v>773</v>
      </c>
      <c r="D14" s="24" t="s">
        <v>41</v>
      </c>
      <c r="E14" s="4" t="s">
        <v>57</v>
      </c>
      <c r="F14" s="4" t="s">
        <v>65</v>
      </c>
      <c r="G14" s="5" t="s">
        <v>2830</v>
      </c>
      <c r="H14" s="35">
        <v>4</v>
      </c>
      <c r="I14" s="5"/>
      <c r="J14" s="5"/>
      <c r="K14" s="8" t="s">
        <v>2717</v>
      </c>
      <c r="L14" s="8" t="s">
        <v>2818</v>
      </c>
      <c r="M14" s="8" t="s">
        <v>2819</v>
      </c>
    </row>
    <row r="15" spans="1:13" ht="37.5" customHeight="1" x14ac:dyDescent="0.35">
      <c r="A15" s="3" t="str">
        <f>ASSESSMENT_METADATA!B3</f>
        <v>JESA-ASSESS-001</v>
      </c>
      <c r="B15" s="3">
        <f>ASSESSMENT_METADATA!B4</f>
        <v>0</v>
      </c>
      <c r="C15" s="2" t="s">
        <v>781</v>
      </c>
      <c r="D15" s="32" t="s">
        <v>71</v>
      </c>
      <c r="E15" s="2" t="s">
        <v>73</v>
      </c>
      <c r="F15" s="2" t="s">
        <v>75</v>
      </c>
      <c r="G15" s="3" t="s">
        <v>2831</v>
      </c>
      <c r="H15" s="35">
        <v>5</v>
      </c>
      <c r="I15" s="3"/>
      <c r="J15" s="3"/>
      <c r="K15" s="8" t="s">
        <v>2717</v>
      </c>
      <c r="L15" s="8" t="s">
        <v>2818</v>
      </c>
      <c r="M15" s="8" t="s">
        <v>2819</v>
      </c>
    </row>
    <row r="16" spans="1:13" ht="37.5" customHeight="1" x14ac:dyDescent="0.35">
      <c r="A16" s="5" t="str">
        <f>ASSESSMENT_METADATA!B3</f>
        <v>JESA-ASSESS-001</v>
      </c>
      <c r="B16" s="5">
        <f>ASSESSMENT_METADATA!B4</f>
        <v>0</v>
      </c>
      <c r="C16" s="4" t="s">
        <v>789</v>
      </c>
      <c r="D16" s="32" t="s">
        <v>71</v>
      </c>
      <c r="E16" s="4" t="s">
        <v>73</v>
      </c>
      <c r="F16" s="4" t="s">
        <v>75</v>
      </c>
      <c r="G16" s="5" t="s">
        <v>2832</v>
      </c>
      <c r="H16" s="35">
        <v>2</v>
      </c>
      <c r="I16" s="5"/>
      <c r="J16" s="5"/>
      <c r="K16" s="8" t="s">
        <v>2717</v>
      </c>
      <c r="L16" s="8" t="s">
        <v>2818</v>
      </c>
      <c r="M16" s="8" t="s">
        <v>2819</v>
      </c>
    </row>
    <row r="17" spans="1:13" ht="37.5" customHeight="1" x14ac:dyDescent="0.35">
      <c r="A17" s="3" t="str">
        <f>ASSESSMENT_METADATA!B3</f>
        <v>JESA-ASSESS-001</v>
      </c>
      <c r="B17" s="3">
        <f>ASSESSMENT_METADATA!B4</f>
        <v>0</v>
      </c>
      <c r="C17" s="2" t="s">
        <v>798</v>
      </c>
      <c r="D17" s="32" t="s">
        <v>71</v>
      </c>
      <c r="E17" s="2" t="s">
        <v>73</v>
      </c>
      <c r="F17" s="2" t="s">
        <v>75</v>
      </c>
      <c r="G17" s="3" t="s">
        <v>2833</v>
      </c>
      <c r="H17" s="35">
        <v>3</v>
      </c>
      <c r="I17" s="3"/>
      <c r="J17" s="3"/>
      <c r="K17" s="8" t="s">
        <v>2717</v>
      </c>
      <c r="L17" s="8" t="s">
        <v>2818</v>
      </c>
      <c r="M17" s="8" t="s">
        <v>2819</v>
      </c>
    </row>
    <row r="18" spans="1:13" ht="37.5" customHeight="1" x14ac:dyDescent="0.35">
      <c r="A18" s="5" t="str">
        <f>ASSESSMENT_METADATA!B3</f>
        <v>JESA-ASSESS-001</v>
      </c>
      <c r="B18" s="5">
        <f>ASSESSMENT_METADATA!B4</f>
        <v>0</v>
      </c>
      <c r="C18" s="4" t="s">
        <v>809</v>
      </c>
      <c r="D18" s="32" t="s">
        <v>71</v>
      </c>
      <c r="E18" s="4" t="s">
        <v>73</v>
      </c>
      <c r="F18" s="4" t="s">
        <v>81</v>
      </c>
      <c r="G18" s="5" t="s">
        <v>2834</v>
      </c>
      <c r="H18" s="35">
        <v>3</v>
      </c>
      <c r="I18" s="5"/>
      <c r="J18" s="5"/>
      <c r="K18" s="8" t="s">
        <v>2717</v>
      </c>
      <c r="L18" s="8" t="s">
        <v>2818</v>
      </c>
      <c r="M18" s="8" t="s">
        <v>2819</v>
      </c>
    </row>
    <row r="19" spans="1:13" ht="37.5" customHeight="1" x14ac:dyDescent="0.35">
      <c r="A19" s="3" t="str">
        <f>ASSESSMENT_METADATA!B3</f>
        <v>JESA-ASSESS-001</v>
      </c>
      <c r="B19" s="3">
        <f>ASSESSMENT_METADATA!B4</f>
        <v>0</v>
      </c>
      <c r="C19" s="2" t="s">
        <v>818</v>
      </c>
      <c r="D19" s="32" t="s">
        <v>71</v>
      </c>
      <c r="E19" s="2" t="s">
        <v>73</v>
      </c>
      <c r="F19" s="2" t="s">
        <v>81</v>
      </c>
      <c r="G19" s="3" t="s">
        <v>2835</v>
      </c>
      <c r="H19" s="35">
        <v>5</v>
      </c>
      <c r="I19" s="3"/>
      <c r="J19" s="3"/>
      <c r="K19" s="8" t="s">
        <v>2717</v>
      </c>
      <c r="L19" s="8" t="s">
        <v>2818</v>
      </c>
      <c r="M19" s="8" t="s">
        <v>2819</v>
      </c>
    </row>
    <row r="20" spans="1:13" ht="37.5" customHeight="1" x14ac:dyDescent="0.35">
      <c r="A20" s="5" t="str">
        <f>ASSESSMENT_METADATA!B3</f>
        <v>JESA-ASSESS-001</v>
      </c>
      <c r="B20" s="5">
        <f>ASSESSMENT_METADATA!B4</f>
        <v>0</v>
      </c>
      <c r="C20" s="4" t="s">
        <v>828</v>
      </c>
      <c r="D20" s="32" t="s">
        <v>71</v>
      </c>
      <c r="E20" s="4" t="s">
        <v>73</v>
      </c>
      <c r="F20" s="4" t="s">
        <v>81</v>
      </c>
      <c r="G20" s="5" t="s">
        <v>2836</v>
      </c>
      <c r="H20" s="35">
        <v>3</v>
      </c>
      <c r="I20" s="5"/>
      <c r="J20" s="5"/>
      <c r="K20" s="8" t="s">
        <v>2717</v>
      </c>
      <c r="L20" s="8" t="s">
        <v>2818</v>
      </c>
      <c r="M20" s="8" t="s">
        <v>2819</v>
      </c>
    </row>
    <row r="21" spans="1:13" ht="37.5" customHeight="1" x14ac:dyDescent="0.35">
      <c r="A21" s="3" t="str">
        <f>ASSESSMENT_METADATA!B3</f>
        <v>JESA-ASSESS-001</v>
      </c>
      <c r="B21" s="3">
        <f>ASSESSMENT_METADATA!B4</f>
        <v>0</v>
      </c>
      <c r="C21" s="2" t="s">
        <v>838</v>
      </c>
      <c r="D21" s="32" t="s">
        <v>71</v>
      </c>
      <c r="E21" s="2" t="s">
        <v>87</v>
      </c>
      <c r="F21" s="2" t="s">
        <v>89</v>
      </c>
      <c r="G21" s="3" t="s">
        <v>2837</v>
      </c>
      <c r="H21" s="35">
        <v>3</v>
      </c>
      <c r="I21" s="3"/>
      <c r="J21" s="3"/>
      <c r="K21" s="8" t="s">
        <v>2717</v>
      </c>
      <c r="L21" s="8" t="s">
        <v>2818</v>
      </c>
      <c r="M21" s="8" t="s">
        <v>2819</v>
      </c>
    </row>
    <row r="22" spans="1:13" ht="37.5" customHeight="1" x14ac:dyDescent="0.35">
      <c r="A22" s="5" t="str">
        <f>ASSESSMENT_METADATA!B3</f>
        <v>JESA-ASSESS-001</v>
      </c>
      <c r="B22" s="5">
        <f>ASSESSMENT_METADATA!B4</f>
        <v>0</v>
      </c>
      <c r="C22" s="4" t="s">
        <v>847</v>
      </c>
      <c r="D22" s="32" t="s">
        <v>71</v>
      </c>
      <c r="E22" s="4" t="s">
        <v>87</v>
      </c>
      <c r="F22" s="4" t="s">
        <v>89</v>
      </c>
      <c r="G22" s="5" t="s">
        <v>2838</v>
      </c>
      <c r="H22" s="35">
        <v>3</v>
      </c>
      <c r="I22" s="5"/>
      <c r="J22" s="5"/>
      <c r="K22" s="8" t="s">
        <v>2717</v>
      </c>
      <c r="L22" s="8" t="s">
        <v>2818</v>
      </c>
      <c r="M22" s="8" t="s">
        <v>2819</v>
      </c>
    </row>
    <row r="23" spans="1:13" ht="37.5" customHeight="1" x14ac:dyDescent="0.35">
      <c r="A23" s="3" t="str">
        <f>ASSESSMENT_METADATA!B3</f>
        <v>JESA-ASSESS-001</v>
      </c>
      <c r="B23" s="3">
        <f>ASSESSMENT_METADATA!B4</f>
        <v>0</v>
      </c>
      <c r="C23" s="2" t="s">
        <v>858</v>
      </c>
      <c r="D23" s="32" t="s">
        <v>71</v>
      </c>
      <c r="E23" s="2" t="s">
        <v>87</v>
      </c>
      <c r="F23" s="2" t="s">
        <v>89</v>
      </c>
      <c r="G23" s="3" t="s">
        <v>2839</v>
      </c>
      <c r="H23" s="35">
        <v>2</v>
      </c>
      <c r="I23" s="3"/>
      <c r="J23" s="3"/>
      <c r="K23" s="8" t="s">
        <v>2717</v>
      </c>
      <c r="L23" s="8" t="s">
        <v>2818</v>
      </c>
      <c r="M23" s="8" t="s">
        <v>2819</v>
      </c>
    </row>
    <row r="24" spans="1:13" ht="37.5" customHeight="1" x14ac:dyDescent="0.35">
      <c r="A24" s="5" t="str">
        <f>ASSESSMENT_METADATA!B3</f>
        <v>JESA-ASSESS-001</v>
      </c>
      <c r="B24" s="5">
        <f>ASSESSMENT_METADATA!B4</f>
        <v>0</v>
      </c>
      <c r="C24" s="4" t="s">
        <v>866</v>
      </c>
      <c r="D24" s="32" t="s">
        <v>71</v>
      </c>
      <c r="E24" s="4" t="s">
        <v>87</v>
      </c>
      <c r="F24" s="4" t="s">
        <v>95</v>
      </c>
      <c r="G24" s="5" t="s">
        <v>2840</v>
      </c>
      <c r="H24" s="35">
        <v>2</v>
      </c>
      <c r="I24" s="5"/>
      <c r="J24" s="5"/>
      <c r="K24" s="8" t="s">
        <v>2717</v>
      </c>
      <c r="L24" s="8" t="s">
        <v>2818</v>
      </c>
      <c r="M24" s="8" t="s">
        <v>2819</v>
      </c>
    </row>
    <row r="25" spans="1:13" ht="37.5" customHeight="1" x14ac:dyDescent="0.35">
      <c r="A25" s="3" t="str">
        <f>ASSESSMENT_METADATA!B3</f>
        <v>JESA-ASSESS-001</v>
      </c>
      <c r="B25" s="3">
        <f>ASSESSMENT_METADATA!B4</f>
        <v>0</v>
      </c>
      <c r="C25" s="2" t="s">
        <v>875</v>
      </c>
      <c r="D25" s="32" t="s">
        <v>71</v>
      </c>
      <c r="E25" s="2" t="s">
        <v>87</v>
      </c>
      <c r="F25" s="2" t="s">
        <v>95</v>
      </c>
      <c r="G25" s="3" t="s">
        <v>2841</v>
      </c>
      <c r="H25" s="35">
        <v>2</v>
      </c>
      <c r="I25" s="3"/>
      <c r="J25" s="3"/>
      <c r="K25" s="8" t="s">
        <v>2717</v>
      </c>
      <c r="L25" s="8" t="s">
        <v>2818</v>
      </c>
      <c r="M25" s="8" t="s">
        <v>2819</v>
      </c>
    </row>
    <row r="26" spans="1:13" ht="37.5" customHeight="1" x14ac:dyDescent="0.35">
      <c r="A26" s="5" t="str">
        <f>ASSESSMENT_METADATA!B3</f>
        <v>JESA-ASSESS-001</v>
      </c>
      <c r="B26" s="5">
        <f>ASSESSMENT_METADATA!B4</f>
        <v>0</v>
      </c>
      <c r="C26" s="4" t="s">
        <v>886</v>
      </c>
      <c r="D26" s="32" t="s">
        <v>71</v>
      </c>
      <c r="E26" s="4" t="s">
        <v>87</v>
      </c>
      <c r="F26" s="4" t="s">
        <v>95</v>
      </c>
      <c r="G26" s="5" t="s">
        <v>2842</v>
      </c>
      <c r="H26" s="35">
        <v>2</v>
      </c>
      <c r="I26" s="5"/>
      <c r="J26" s="5"/>
      <c r="K26" s="8" t="s">
        <v>2717</v>
      </c>
      <c r="L26" s="8" t="s">
        <v>2818</v>
      </c>
      <c r="M26" s="8" t="s">
        <v>2819</v>
      </c>
    </row>
    <row r="27" spans="1:13" ht="37.5" customHeight="1" x14ac:dyDescent="0.35">
      <c r="A27" s="3" t="str">
        <f>ASSESSMENT_METADATA!B3</f>
        <v>JESA-ASSESS-001</v>
      </c>
      <c r="B27" s="3">
        <f>ASSESSMENT_METADATA!B4</f>
        <v>0</v>
      </c>
      <c r="C27" s="2" t="s">
        <v>897</v>
      </c>
      <c r="D27" s="29" t="s">
        <v>101</v>
      </c>
      <c r="E27" s="2" t="s">
        <v>103</v>
      </c>
      <c r="F27" s="2" t="s">
        <v>105</v>
      </c>
      <c r="G27" s="3" t="s">
        <v>2843</v>
      </c>
      <c r="H27" s="35">
        <v>1</v>
      </c>
      <c r="I27" s="3"/>
      <c r="J27" s="3"/>
      <c r="K27" s="8" t="s">
        <v>2717</v>
      </c>
      <c r="L27" s="8" t="s">
        <v>2818</v>
      </c>
      <c r="M27" s="8" t="s">
        <v>2819</v>
      </c>
    </row>
    <row r="28" spans="1:13" ht="37.5" customHeight="1" x14ac:dyDescent="0.35">
      <c r="A28" s="5" t="str">
        <f>ASSESSMENT_METADATA!B3</f>
        <v>JESA-ASSESS-001</v>
      </c>
      <c r="B28" s="5">
        <f>ASSESSMENT_METADATA!B4</f>
        <v>0</v>
      </c>
      <c r="C28" s="4" t="s">
        <v>908</v>
      </c>
      <c r="D28" s="29" t="s">
        <v>101</v>
      </c>
      <c r="E28" s="4" t="s">
        <v>103</v>
      </c>
      <c r="F28" s="4" t="s">
        <v>105</v>
      </c>
      <c r="G28" s="5" t="s">
        <v>2844</v>
      </c>
      <c r="H28" s="35">
        <v>1</v>
      </c>
      <c r="I28" s="5"/>
      <c r="J28" s="5"/>
      <c r="K28" s="8" t="s">
        <v>2717</v>
      </c>
      <c r="L28" s="8" t="s">
        <v>2818</v>
      </c>
      <c r="M28" s="8" t="s">
        <v>2819</v>
      </c>
    </row>
    <row r="29" spans="1:13" ht="37.5" customHeight="1" x14ac:dyDescent="0.35">
      <c r="A29" s="3" t="str">
        <f>ASSESSMENT_METADATA!B3</f>
        <v>JESA-ASSESS-001</v>
      </c>
      <c r="B29" s="3">
        <f>ASSESSMENT_METADATA!B4</f>
        <v>0</v>
      </c>
      <c r="C29" s="2" t="s">
        <v>916</v>
      </c>
      <c r="D29" s="29" t="s">
        <v>101</v>
      </c>
      <c r="E29" s="2" t="s">
        <v>103</v>
      </c>
      <c r="F29" s="2" t="s">
        <v>105</v>
      </c>
      <c r="G29" s="3" t="s">
        <v>2845</v>
      </c>
      <c r="H29" s="35">
        <v>1</v>
      </c>
      <c r="I29" s="3"/>
      <c r="J29" s="3"/>
      <c r="K29" s="8" t="s">
        <v>2717</v>
      </c>
      <c r="L29" s="8" t="s">
        <v>2818</v>
      </c>
      <c r="M29" s="8" t="s">
        <v>2819</v>
      </c>
    </row>
    <row r="30" spans="1:13" ht="37.5" customHeight="1" x14ac:dyDescent="0.35">
      <c r="A30" s="5" t="str">
        <f>ASSESSMENT_METADATA!B3</f>
        <v>JESA-ASSESS-001</v>
      </c>
      <c r="B30" s="5">
        <f>ASSESSMENT_METADATA!B4</f>
        <v>0</v>
      </c>
      <c r="C30" s="4" t="s">
        <v>926</v>
      </c>
      <c r="D30" s="29" t="s">
        <v>101</v>
      </c>
      <c r="E30" s="4" t="s">
        <v>103</v>
      </c>
      <c r="F30" s="4" t="s">
        <v>111</v>
      </c>
      <c r="G30" s="5" t="s">
        <v>2846</v>
      </c>
      <c r="H30" s="35">
        <v>1</v>
      </c>
      <c r="I30" s="5"/>
      <c r="J30" s="5"/>
      <c r="K30" s="8" t="s">
        <v>2717</v>
      </c>
      <c r="L30" s="8" t="s">
        <v>2818</v>
      </c>
      <c r="M30" s="8" t="s">
        <v>2819</v>
      </c>
    </row>
    <row r="31" spans="1:13" ht="37.5" customHeight="1" x14ac:dyDescent="0.35">
      <c r="A31" s="3" t="str">
        <f>ASSESSMENT_METADATA!B3</f>
        <v>JESA-ASSESS-001</v>
      </c>
      <c r="B31" s="3">
        <f>ASSESSMENT_METADATA!B4</f>
        <v>0</v>
      </c>
      <c r="C31" s="2" t="s">
        <v>936</v>
      </c>
      <c r="D31" s="29" t="s">
        <v>101</v>
      </c>
      <c r="E31" s="2" t="s">
        <v>103</v>
      </c>
      <c r="F31" s="2" t="s">
        <v>111</v>
      </c>
      <c r="G31" s="3" t="s">
        <v>2847</v>
      </c>
      <c r="H31" s="35">
        <v>1</v>
      </c>
      <c r="I31" s="3"/>
      <c r="J31" s="3"/>
      <c r="K31" s="8" t="s">
        <v>2717</v>
      </c>
      <c r="L31" s="8" t="s">
        <v>2818</v>
      </c>
      <c r="M31" s="8" t="s">
        <v>2819</v>
      </c>
    </row>
    <row r="32" spans="1:13" ht="37.5" customHeight="1" x14ac:dyDescent="0.35">
      <c r="A32" s="5" t="str">
        <f>ASSESSMENT_METADATA!B3</f>
        <v>JESA-ASSESS-001</v>
      </c>
      <c r="B32" s="5">
        <f>ASSESSMENT_METADATA!B4</f>
        <v>0</v>
      </c>
      <c r="C32" s="4" t="s">
        <v>947</v>
      </c>
      <c r="D32" s="29" t="s">
        <v>101</v>
      </c>
      <c r="E32" s="4" t="s">
        <v>103</v>
      </c>
      <c r="F32" s="4" t="s">
        <v>111</v>
      </c>
      <c r="G32" s="5" t="s">
        <v>2848</v>
      </c>
      <c r="H32" s="35">
        <v>1</v>
      </c>
      <c r="I32" s="5"/>
      <c r="J32" s="5"/>
      <c r="K32" s="8" t="s">
        <v>2717</v>
      </c>
      <c r="L32" s="8" t="s">
        <v>2818</v>
      </c>
      <c r="M32" s="8" t="s">
        <v>2819</v>
      </c>
    </row>
    <row r="33" spans="1:13" ht="37.5" customHeight="1" x14ac:dyDescent="0.35">
      <c r="A33" s="3" t="str">
        <f>ASSESSMENT_METADATA!B3</f>
        <v>JESA-ASSESS-001</v>
      </c>
      <c r="B33" s="3">
        <f>ASSESSMENT_METADATA!B4</f>
        <v>0</v>
      </c>
      <c r="C33" s="2" t="s">
        <v>956</v>
      </c>
      <c r="D33" s="29" t="s">
        <v>101</v>
      </c>
      <c r="E33" s="2" t="s">
        <v>117</v>
      </c>
      <c r="F33" s="2" t="s">
        <v>119</v>
      </c>
      <c r="G33" s="3" t="s">
        <v>2849</v>
      </c>
      <c r="H33" s="35">
        <v>1</v>
      </c>
      <c r="I33" s="3"/>
      <c r="J33" s="3"/>
      <c r="K33" s="8" t="s">
        <v>2717</v>
      </c>
      <c r="L33" s="8" t="s">
        <v>2818</v>
      </c>
      <c r="M33" s="8" t="s">
        <v>2819</v>
      </c>
    </row>
    <row r="34" spans="1:13" ht="37.5" customHeight="1" x14ac:dyDescent="0.35">
      <c r="A34" s="5" t="str">
        <f>ASSESSMENT_METADATA!B3</f>
        <v>JESA-ASSESS-001</v>
      </c>
      <c r="B34" s="5">
        <f>ASSESSMENT_METADATA!B4</f>
        <v>0</v>
      </c>
      <c r="C34" s="4" t="s">
        <v>965</v>
      </c>
      <c r="D34" s="29" t="s">
        <v>101</v>
      </c>
      <c r="E34" s="4" t="s">
        <v>117</v>
      </c>
      <c r="F34" s="4" t="s">
        <v>119</v>
      </c>
      <c r="G34" s="5" t="s">
        <v>2850</v>
      </c>
      <c r="H34" s="35">
        <v>3</v>
      </c>
      <c r="I34" s="5"/>
      <c r="J34" s="5"/>
      <c r="K34" s="8" t="s">
        <v>2717</v>
      </c>
      <c r="L34" s="8" t="s">
        <v>2818</v>
      </c>
      <c r="M34" s="8" t="s">
        <v>2819</v>
      </c>
    </row>
    <row r="35" spans="1:13" ht="37.5" customHeight="1" x14ac:dyDescent="0.35">
      <c r="A35" s="3" t="str">
        <f>ASSESSMENT_METADATA!B3</f>
        <v>JESA-ASSESS-001</v>
      </c>
      <c r="B35" s="3">
        <f>ASSESSMENT_METADATA!B4</f>
        <v>0</v>
      </c>
      <c r="C35" s="2" t="s">
        <v>975</v>
      </c>
      <c r="D35" s="29" t="s">
        <v>101</v>
      </c>
      <c r="E35" s="2" t="s">
        <v>117</v>
      </c>
      <c r="F35" s="2" t="s">
        <v>119</v>
      </c>
      <c r="G35" s="3" t="s">
        <v>2851</v>
      </c>
      <c r="H35" s="35">
        <v>3</v>
      </c>
      <c r="I35" s="3"/>
      <c r="J35" s="3"/>
      <c r="K35" s="8" t="s">
        <v>2717</v>
      </c>
      <c r="L35" s="8" t="s">
        <v>2818</v>
      </c>
      <c r="M35" s="8" t="s">
        <v>2819</v>
      </c>
    </row>
    <row r="36" spans="1:13" ht="37.5" customHeight="1" x14ac:dyDescent="0.35">
      <c r="A36" s="5" t="str">
        <f>ASSESSMENT_METADATA!B3</f>
        <v>JESA-ASSESS-001</v>
      </c>
      <c r="B36" s="5">
        <f>ASSESSMENT_METADATA!B4</f>
        <v>0</v>
      </c>
      <c r="C36" s="4" t="s">
        <v>985</v>
      </c>
      <c r="D36" s="29" t="s">
        <v>101</v>
      </c>
      <c r="E36" s="4" t="s">
        <v>117</v>
      </c>
      <c r="F36" s="4" t="s">
        <v>125</v>
      </c>
      <c r="G36" s="5" t="s">
        <v>2852</v>
      </c>
      <c r="H36" s="35">
        <v>2</v>
      </c>
      <c r="I36" s="5"/>
      <c r="J36" s="5"/>
      <c r="K36" s="8" t="s">
        <v>2717</v>
      </c>
      <c r="L36" s="8" t="s">
        <v>2818</v>
      </c>
      <c r="M36" s="8" t="s">
        <v>2819</v>
      </c>
    </row>
    <row r="37" spans="1:13" ht="37.5" customHeight="1" x14ac:dyDescent="0.35">
      <c r="A37" s="3" t="str">
        <f>ASSESSMENT_METADATA!B3</f>
        <v>JESA-ASSESS-001</v>
      </c>
      <c r="B37" s="3">
        <f>ASSESSMENT_METADATA!B4</f>
        <v>0</v>
      </c>
      <c r="C37" s="2" t="s">
        <v>996</v>
      </c>
      <c r="D37" s="29" t="s">
        <v>101</v>
      </c>
      <c r="E37" s="2" t="s">
        <v>117</v>
      </c>
      <c r="F37" s="2" t="s">
        <v>125</v>
      </c>
      <c r="G37" s="3" t="s">
        <v>2853</v>
      </c>
      <c r="H37" s="35">
        <v>1</v>
      </c>
      <c r="I37" s="3"/>
      <c r="J37" s="3"/>
      <c r="K37" s="8" t="s">
        <v>2717</v>
      </c>
      <c r="L37" s="8" t="s">
        <v>2818</v>
      </c>
      <c r="M37" s="8" t="s">
        <v>2819</v>
      </c>
    </row>
    <row r="38" spans="1:13" ht="37.5" customHeight="1" x14ac:dyDescent="0.35">
      <c r="A38" s="5" t="str">
        <f>ASSESSMENT_METADATA!B3</f>
        <v>JESA-ASSESS-001</v>
      </c>
      <c r="B38" s="5">
        <f>ASSESSMENT_METADATA!B4</f>
        <v>0</v>
      </c>
      <c r="C38" s="4" t="s">
        <v>1007</v>
      </c>
      <c r="D38" s="29" t="s">
        <v>101</v>
      </c>
      <c r="E38" s="4" t="s">
        <v>117</v>
      </c>
      <c r="F38" s="4" t="s">
        <v>125</v>
      </c>
      <c r="G38" s="5" t="s">
        <v>2854</v>
      </c>
      <c r="H38" s="35">
        <v>2</v>
      </c>
      <c r="I38" s="5"/>
      <c r="J38" s="5"/>
      <c r="K38" s="8" t="s">
        <v>2717</v>
      </c>
      <c r="L38" s="8" t="s">
        <v>2818</v>
      </c>
      <c r="M38" s="8" t="s">
        <v>2819</v>
      </c>
    </row>
    <row r="39" spans="1:13" ht="37.5" customHeight="1" x14ac:dyDescent="0.35">
      <c r="A39" s="3" t="str">
        <f>ASSESSMENT_METADATA!B3</f>
        <v>JESA-ASSESS-001</v>
      </c>
      <c r="B39" s="3">
        <f>ASSESSMENT_METADATA!B4</f>
        <v>0</v>
      </c>
      <c r="C39" s="2" t="s">
        <v>1017</v>
      </c>
      <c r="D39" s="33" t="s">
        <v>131</v>
      </c>
      <c r="E39" s="2" t="s">
        <v>133</v>
      </c>
      <c r="F39" s="2" t="s">
        <v>135</v>
      </c>
      <c r="G39" s="3" t="s">
        <v>2855</v>
      </c>
      <c r="H39" s="35">
        <v>3</v>
      </c>
      <c r="I39" s="3"/>
      <c r="J39" s="3"/>
      <c r="K39" s="8" t="s">
        <v>2717</v>
      </c>
      <c r="L39" s="8" t="s">
        <v>2818</v>
      </c>
      <c r="M39" s="8" t="s">
        <v>2819</v>
      </c>
    </row>
    <row r="40" spans="1:13" ht="37.5" customHeight="1" x14ac:dyDescent="0.35">
      <c r="A40" s="5" t="str">
        <f>ASSESSMENT_METADATA!B3</f>
        <v>JESA-ASSESS-001</v>
      </c>
      <c r="B40" s="5">
        <f>ASSESSMENT_METADATA!B4</f>
        <v>0</v>
      </c>
      <c r="C40" s="4" t="s">
        <v>1026</v>
      </c>
      <c r="D40" s="33" t="s">
        <v>131</v>
      </c>
      <c r="E40" s="4" t="s">
        <v>133</v>
      </c>
      <c r="F40" s="4" t="s">
        <v>135</v>
      </c>
      <c r="G40" s="5" t="s">
        <v>2856</v>
      </c>
      <c r="H40" s="35">
        <v>4</v>
      </c>
      <c r="I40" s="5"/>
      <c r="J40" s="5"/>
      <c r="K40" s="8" t="s">
        <v>2717</v>
      </c>
      <c r="L40" s="8" t="s">
        <v>2818</v>
      </c>
      <c r="M40" s="8" t="s">
        <v>2819</v>
      </c>
    </row>
    <row r="41" spans="1:13" ht="37.5" customHeight="1" x14ac:dyDescent="0.35">
      <c r="A41" s="3" t="str">
        <f>ASSESSMENT_METADATA!B3</f>
        <v>JESA-ASSESS-001</v>
      </c>
      <c r="B41" s="3">
        <f>ASSESSMENT_METADATA!B4</f>
        <v>0</v>
      </c>
      <c r="C41" s="2" t="s">
        <v>1035</v>
      </c>
      <c r="D41" s="33" t="s">
        <v>131</v>
      </c>
      <c r="E41" s="2" t="s">
        <v>133</v>
      </c>
      <c r="F41" s="2" t="s">
        <v>135</v>
      </c>
      <c r="G41" s="3" t="s">
        <v>2857</v>
      </c>
      <c r="H41" s="35">
        <v>3</v>
      </c>
      <c r="I41" s="3"/>
      <c r="J41" s="3"/>
      <c r="K41" s="8" t="s">
        <v>2717</v>
      </c>
      <c r="L41" s="8" t="s">
        <v>2818</v>
      </c>
      <c r="M41" s="8" t="s">
        <v>2819</v>
      </c>
    </row>
    <row r="42" spans="1:13" ht="37.5" customHeight="1" x14ac:dyDescent="0.35">
      <c r="A42" s="5" t="str">
        <f>ASSESSMENT_METADATA!B3</f>
        <v>JESA-ASSESS-001</v>
      </c>
      <c r="B42" s="5">
        <f>ASSESSMENT_METADATA!B4</f>
        <v>0</v>
      </c>
      <c r="C42" s="4" t="s">
        <v>1044</v>
      </c>
      <c r="D42" s="33" t="s">
        <v>131</v>
      </c>
      <c r="E42" s="4" t="s">
        <v>133</v>
      </c>
      <c r="F42" s="4" t="s">
        <v>141</v>
      </c>
      <c r="G42" s="5" t="s">
        <v>2858</v>
      </c>
      <c r="H42" s="35">
        <v>1</v>
      </c>
      <c r="I42" s="5"/>
      <c r="J42" s="5"/>
      <c r="K42" s="8" t="s">
        <v>2717</v>
      </c>
      <c r="L42" s="8" t="s">
        <v>2818</v>
      </c>
      <c r="M42" s="8" t="s">
        <v>2819</v>
      </c>
    </row>
    <row r="43" spans="1:13" ht="37.5" customHeight="1" x14ac:dyDescent="0.35">
      <c r="A43" s="3" t="str">
        <f>ASSESSMENT_METADATA!B3</f>
        <v>JESA-ASSESS-001</v>
      </c>
      <c r="B43" s="3">
        <f>ASSESSMENT_METADATA!B4</f>
        <v>0</v>
      </c>
      <c r="C43" s="2" t="s">
        <v>1054</v>
      </c>
      <c r="D43" s="33" t="s">
        <v>131</v>
      </c>
      <c r="E43" s="2" t="s">
        <v>133</v>
      </c>
      <c r="F43" s="2" t="s">
        <v>141</v>
      </c>
      <c r="G43" s="3" t="s">
        <v>2859</v>
      </c>
      <c r="H43" s="35">
        <v>2</v>
      </c>
      <c r="I43" s="3"/>
      <c r="J43" s="3"/>
      <c r="K43" s="8" t="s">
        <v>2717</v>
      </c>
      <c r="L43" s="8" t="s">
        <v>2818</v>
      </c>
      <c r="M43" s="8" t="s">
        <v>2819</v>
      </c>
    </row>
    <row r="44" spans="1:13" ht="37.5" customHeight="1" x14ac:dyDescent="0.35">
      <c r="A44" s="5" t="str">
        <f>ASSESSMENT_METADATA!B3</f>
        <v>JESA-ASSESS-001</v>
      </c>
      <c r="B44" s="5">
        <f>ASSESSMENT_METADATA!B4</f>
        <v>0</v>
      </c>
      <c r="C44" s="4" t="s">
        <v>1065</v>
      </c>
      <c r="D44" s="33" t="s">
        <v>131</v>
      </c>
      <c r="E44" s="4" t="s">
        <v>133</v>
      </c>
      <c r="F44" s="4" t="s">
        <v>141</v>
      </c>
      <c r="G44" s="5" t="s">
        <v>2860</v>
      </c>
      <c r="H44" s="35">
        <v>2</v>
      </c>
      <c r="I44" s="5"/>
      <c r="J44" s="5"/>
      <c r="K44" s="8" t="s">
        <v>2717</v>
      </c>
      <c r="L44" s="8" t="s">
        <v>2818</v>
      </c>
      <c r="M44" s="8" t="s">
        <v>2819</v>
      </c>
    </row>
    <row r="45" spans="1:13" ht="37.5" customHeight="1" x14ac:dyDescent="0.35">
      <c r="A45" s="3" t="str">
        <f>ASSESSMENT_METADATA!B3</f>
        <v>JESA-ASSESS-001</v>
      </c>
      <c r="B45" s="3">
        <f>ASSESSMENT_METADATA!B4</f>
        <v>0</v>
      </c>
      <c r="C45" s="2" t="s">
        <v>1075</v>
      </c>
      <c r="D45" s="33" t="s">
        <v>131</v>
      </c>
      <c r="E45" s="2" t="s">
        <v>147</v>
      </c>
      <c r="F45" s="2" t="s">
        <v>149</v>
      </c>
      <c r="G45" s="3" t="s">
        <v>2861</v>
      </c>
      <c r="H45" s="35">
        <v>1</v>
      </c>
      <c r="I45" s="3"/>
      <c r="J45" s="3"/>
      <c r="K45" s="8" t="s">
        <v>2717</v>
      </c>
      <c r="L45" s="8" t="s">
        <v>2818</v>
      </c>
      <c r="M45" s="8" t="s">
        <v>2819</v>
      </c>
    </row>
    <row r="46" spans="1:13" ht="37.5" customHeight="1" x14ac:dyDescent="0.35">
      <c r="A46" s="5" t="str">
        <f>ASSESSMENT_METADATA!B3</f>
        <v>JESA-ASSESS-001</v>
      </c>
      <c r="B46" s="5">
        <f>ASSESSMENT_METADATA!B4</f>
        <v>0</v>
      </c>
      <c r="C46" s="4" t="s">
        <v>1084</v>
      </c>
      <c r="D46" s="33" t="s">
        <v>131</v>
      </c>
      <c r="E46" s="4" t="s">
        <v>147</v>
      </c>
      <c r="F46" s="4" t="s">
        <v>149</v>
      </c>
      <c r="G46" s="5" t="s">
        <v>2862</v>
      </c>
      <c r="H46" s="35">
        <v>4</v>
      </c>
      <c r="I46" s="5"/>
      <c r="J46" s="5"/>
      <c r="K46" s="8" t="s">
        <v>2717</v>
      </c>
      <c r="L46" s="8" t="s">
        <v>2818</v>
      </c>
      <c r="M46" s="8" t="s">
        <v>2819</v>
      </c>
    </row>
    <row r="47" spans="1:13" ht="37.5" customHeight="1" x14ac:dyDescent="0.35">
      <c r="A47" s="3" t="str">
        <f>ASSESSMENT_METADATA!B3</f>
        <v>JESA-ASSESS-001</v>
      </c>
      <c r="B47" s="3">
        <f>ASSESSMENT_METADATA!B4</f>
        <v>0</v>
      </c>
      <c r="C47" s="2" t="s">
        <v>1095</v>
      </c>
      <c r="D47" s="33" t="s">
        <v>131</v>
      </c>
      <c r="E47" s="2" t="s">
        <v>147</v>
      </c>
      <c r="F47" s="2" t="s">
        <v>149</v>
      </c>
      <c r="G47" s="3" t="s">
        <v>2863</v>
      </c>
      <c r="H47" s="35">
        <v>2</v>
      </c>
      <c r="I47" s="3"/>
      <c r="J47" s="3"/>
      <c r="K47" s="8" t="s">
        <v>2717</v>
      </c>
      <c r="L47" s="8" t="s">
        <v>2818</v>
      </c>
      <c r="M47" s="8" t="s">
        <v>2819</v>
      </c>
    </row>
    <row r="48" spans="1:13" ht="37.5" customHeight="1" x14ac:dyDescent="0.35">
      <c r="A48" s="5" t="str">
        <f>ASSESSMENT_METADATA!B3</f>
        <v>JESA-ASSESS-001</v>
      </c>
      <c r="B48" s="5">
        <f>ASSESSMENT_METADATA!B4</f>
        <v>0</v>
      </c>
      <c r="C48" s="4" t="s">
        <v>1104</v>
      </c>
      <c r="D48" s="33" t="s">
        <v>131</v>
      </c>
      <c r="E48" s="4" t="s">
        <v>147</v>
      </c>
      <c r="F48" s="4" t="s">
        <v>155</v>
      </c>
      <c r="G48" s="5" t="s">
        <v>2864</v>
      </c>
      <c r="H48" s="35">
        <v>1</v>
      </c>
      <c r="I48" s="5"/>
      <c r="J48" s="5"/>
      <c r="K48" s="8" t="s">
        <v>2717</v>
      </c>
      <c r="L48" s="8" t="s">
        <v>2818</v>
      </c>
      <c r="M48" s="8" t="s">
        <v>2819</v>
      </c>
    </row>
    <row r="49" spans="1:13" ht="37.5" customHeight="1" x14ac:dyDescent="0.35">
      <c r="A49" s="3" t="str">
        <f>ASSESSMENT_METADATA!B3</f>
        <v>JESA-ASSESS-001</v>
      </c>
      <c r="B49" s="3">
        <f>ASSESSMENT_METADATA!B4</f>
        <v>0</v>
      </c>
      <c r="C49" s="2" t="s">
        <v>1114</v>
      </c>
      <c r="D49" s="33" t="s">
        <v>131</v>
      </c>
      <c r="E49" s="2" t="s">
        <v>147</v>
      </c>
      <c r="F49" s="2" t="s">
        <v>155</v>
      </c>
      <c r="G49" s="3" t="s">
        <v>2865</v>
      </c>
      <c r="H49" s="35">
        <v>2</v>
      </c>
      <c r="I49" s="3"/>
      <c r="J49" s="3"/>
      <c r="K49" s="8" t="s">
        <v>2717</v>
      </c>
      <c r="L49" s="8" t="s">
        <v>2818</v>
      </c>
      <c r="M49" s="8" t="s">
        <v>2819</v>
      </c>
    </row>
    <row r="50" spans="1:13" ht="37.5" customHeight="1" x14ac:dyDescent="0.35">
      <c r="A50" s="5" t="str">
        <f>ASSESSMENT_METADATA!B3</f>
        <v>JESA-ASSESS-001</v>
      </c>
      <c r="B50" s="5">
        <f>ASSESSMENT_METADATA!B4</f>
        <v>0</v>
      </c>
      <c r="C50" s="4" t="s">
        <v>1123</v>
      </c>
      <c r="D50" s="33" t="s">
        <v>131</v>
      </c>
      <c r="E50" s="4" t="s">
        <v>147</v>
      </c>
      <c r="F50" s="4" t="s">
        <v>155</v>
      </c>
      <c r="G50" s="5" t="s">
        <v>2866</v>
      </c>
      <c r="H50" s="35">
        <v>3</v>
      </c>
      <c r="I50" s="5"/>
      <c r="J50" s="5"/>
      <c r="K50" s="8" t="s">
        <v>2717</v>
      </c>
      <c r="L50" s="8" t="s">
        <v>2818</v>
      </c>
      <c r="M50" s="8" t="s">
        <v>2819</v>
      </c>
    </row>
    <row r="51" spans="1:13" ht="37.5" customHeight="1" x14ac:dyDescent="0.35">
      <c r="A51" s="3" t="str">
        <f>ASSESSMENT_METADATA!B3</f>
        <v>JESA-ASSESS-001</v>
      </c>
      <c r="B51" s="3">
        <f>ASSESSMENT_METADATA!B4</f>
        <v>0</v>
      </c>
      <c r="C51" s="2" t="s">
        <v>1133</v>
      </c>
      <c r="D51" s="34" t="s">
        <v>161</v>
      </c>
      <c r="E51" s="2" t="s">
        <v>163</v>
      </c>
      <c r="F51" s="2" t="s">
        <v>165</v>
      </c>
      <c r="G51" s="3" t="s">
        <v>2867</v>
      </c>
      <c r="H51" s="35">
        <v>2</v>
      </c>
      <c r="I51" s="3"/>
      <c r="J51" s="3"/>
      <c r="K51" s="8" t="s">
        <v>2717</v>
      </c>
      <c r="L51" s="8" t="s">
        <v>2818</v>
      </c>
      <c r="M51" s="8" t="s">
        <v>2819</v>
      </c>
    </row>
    <row r="52" spans="1:13" ht="37.5" customHeight="1" x14ac:dyDescent="0.35">
      <c r="A52" s="5" t="str">
        <f>ASSESSMENT_METADATA!B3</f>
        <v>JESA-ASSESS-001</v>
      </c>
      <c r="B52" s="5">
        <f>ASSESSMENT_METADATA!B4</f>
        <v>0</v>
      </c>
      <c r="C52" s="4" t="s">
        <v>1142</v>
      </c>
      <c r="D52" s="34" t="s">
        <v>161</v>
      </c>
      <c r="E52" s="4" t="s">
        <v>163</v>
      </c>
      <c r="F52" s="4" t="s">
        <v>165</v>
      </c>
      <c r="G52" s="5" t="s">
        <v>2868</v>
      </c>
      <c r="H52" s="35">
        <v>1</v>
      </c>
      <c r="I52" s="5"/>
      <c r="J52" s="5"/>
      <c r="K52" s="8" t="s">
        <v>2717</v>
      </c>
      <c r="L52" s="8" t="s">
        <v>2818</v>
      </c>
      <c r="M52" s="8" t="s">
        <v>2819</v>
      </c>
    </row>
    <row r="53" spans="1:13" ht="37.5" customHeight="1" x14ac:dyDescent="0.35">
      <c r="A53" s="3" t="str">
        <f>ASSESSMENT_METADATA!B3</f>
        <v>JESA-ASSESS-001</v>
      </c>
      <c r="B53" s="3">
        <f>ASSESSMENT_METADATA!B4</f>
        <v>0</v>
      </c>
      <c r="C53" s="2" t="s">
        <v>1151</v>
      </c>
      <c r="D53" s="34" t="s">
        <v>161</v>
      </c>
      <c r="E53" s="2" t="s">
        <v>163</v>
      </c>
      <c r="F53" s="2" t="s">
        <v>165</v>
      </c>
      <c r="G53" s="3" t="s">
        <v>2869</v>
      </c>
      <c r="H53" s="35">
        <v>1</v>
      </c>
      <c r="I53" s="3"/>
      <c r="J53" s="3"/>
      <c r="K53" s="8" t="s">
        <v>2717</v>
      </c>
      <c r="L53" s="8" t="s">
        <v>2818</v>
      </c>
      <c r="M53" s="8" t="s">
        <v>2819</v>
      </c>
    </row>
    <row r="54" spans="1:13" ht="37.5" customHeight="1" x14ac:dyDescent="0.35">
      <c r="A54" s="5" t="str">
        <f>ASSESSMENT_METADATA!B3</f>
        <v>JESA-ASSESS-001</v>
      </c>
      <c r="B54" s="5">
        <f>ASSESSMENT_METADATA!B4</f>
        <v>0</v>
      </c>
      <c r="C54" s="4" t="s">
        <v>1160</v>
      </c>
      <c r="D54" s="34" t="s">
        <v>161</v>
      </c>
      <c r="E54" s="4" t="s">
        <v>163</v>
      </c>
      <c r="F54" s="4" t="s">
        <v>171</v>
      </c>
      <c r="G54" s="5" t="s">
        <v>2870</v>
      </c>
      <c r="H54" s="35">
        <v>2</v>
      </c>
      <c r="I54" s="5"/>
      <c r="J54" s="5"/>
      <c r="K54" s="8" t="s">
        <v>2717</v>
      </c>
      <c r="L54" s="8" t="s">
        <v>2818</v>
      </c>
      <c r="M54" s="8" t="s">
        <v>2819</v>
      </c>
    </row>
    <row r="55" spans="1:13" ht="37.5" customHeight="1" x14ac:dyDescent="0.35">
      <c r="A55" s="3" t="str">
        <f>ASSESSMENT_METADATA!B3</f>
        <v>JESA-ASSESS-001</v>
      </c>
      <c r="B55" s="3">
        <f>ASSESSMENT_METADATA!B4</f>
        <v>0</v>
      </c>
      <c r="C55" s="2" t="s">
        <v>1169</v>
      </c>
      <c r="D55" s="34" t="s">
        <v>161</v>
      </c>
      <c r="E55" s="2" t="s">
        <v>163</v>
      </c>
      <c r="F55" s="2" t="s">
        <v>171</v>
      </c>
      <c r="G55" s="3" t="s">
        <v>2871</v>
      </c>
      <c r="H55" s="35">
        <v>1</v>
      </c>
      <c r="I55" s="3"/>
      <c r="J55" s="3"/>
      <c r="K55" s="8" t="s">
        <v>2717</v>
      </c>
      <c r="L55" s="8" t="s">
        <v>2818</v>
      </c>
      <c r="M55" s="8" t="s">
        <v>2819</v>
      </c>
    </row>
    <row r="56" spans="1:13" ht="37.5" customHeight="1" x14ac:dyDescent="0.35">
      <c r="A56" s="5" t="str">
        <f>ASSESSMENT_METADATA!B3</f>
        <v>JESA-ASSESS-001</v>
      </c>
      <c r="B56" s="5">
        <f>ASSESSMENT_METADATA!B4</f>
        <v>0</v>
      </c>
      <c r="C56" s="4" t="s">
        <v>1180</v>
      </c>
      <c r="D56" s="34" t="s">
        <v>161</v>
      </c>
      <c r="E56" s="4" t="s">
        <v>163</v>
      </c>
      <c r="F56" s="4" t="s">
        <v>171</v>
      </c>
      <c r="G56" s="5" t="s">
        <v>2872</v>
      </c>
      <c r="H56" s="35">
        <v>3</v>
      </c>
      <c r="I56" s="5"/>
      <c r="J56" s="5"/>
      <c r="K56" s="8" t="s">
        <v>2717</v>
      </c>
      <c r="L56" s="8" t="s">
        <v>2818</v>
      </c>
      <c r="M56" s="8" t="s">
        <v>2819</v>
      </c>
    </row>
    <row r="57" spans="1:13" ht="37.5" customHeight="1" x14ac:dyDescent="0.35">
      <c r="A57" s="3" t="str">
        <f>ASSESSMENT_METADATA!B3</f>
        <v>JESA-ASSESS-001</v>
      </c>
      <c r="B57" s="3">
        <f>ASSESSMENT_METADATA!B4</f>
        <v>0</v>
      </c>
      <c r="C57" s="2" t="s">
        <v>1190</v>
      </c>
      <c r="D57" s="34" t="s">
        <v>161</v>
      </c>
      <c r="E57" s="2" t="s">
        <v>177</v>
      </c>
      <c r="F57" s="2" t="s">
        <v>179</v>
      </c>
      <c r="G57" s="3" t="s">
        <v>2873</v>
      </c>
      <c r="H57" s="35">
        <v>3</v>
      </c>
      <c r="I57" s="3"/>
      <c r="J57" s="3"/>
      <c r="K57" s="8" t="s">
        <v>2717</v>
      </c>
      <c r="L57" s="8" t="s">
        <v>2818</v>
      </c>
      <c r="M57" s="8" t="s">
        <v>2819</v>
      </c>
    </row>
    <row r="58" spans="1:13" ht="37.5" customHeight="1" x14ac:dyDescent="0.35">
      <c r="A58" s="5" t="str">
        <f>ASSESSMENT_METADATA!B3</f>
        <v>JESA-ASSESS-001</v>
      </c>
      <c r="B58" s="5">
        <f>ASSESSMENT_METADATA!B4</f>
        <v>0</v>
      </c>
      <c r="C58" s="4" t="s">
        <v>1201</v>
      </c>
      <c r="D58" s="34" t="s">
        <v>161</v>
      </c>
      <c r="E58" s="4" t="s">
        <v>177</v>
      </c>
      <c r="F58" s="4" t="s">
        <v>179</v>
      </c>
      <c r="G58" s="5" t="s">
        <v>2874</v>
      </c>
      <c r="H58" s="35">
        <v>3</v>
      </c>
      <c r="I58" s="5"/>
      <c r="J58" s="5"/>
      <c r="K58" s="8" t="s">
        <v>2717</v>
      </c>
      <c r="L58" s="8" t="s">
        <v>2818</v>
      </c>
      <c r="M58" s="8" t="s">
        <v>2819</v>
      </c>
    </row>
    <row r="59" spans="1:13" ht="37.5" customHeight="1" x14ac:dyDescent="0.35">
      <c r="A59" s="3" t="str">
        <f>ASSESSMENT_METADATA!B3</f>
        <v>JESA-ASSESS-001</v>
      </c>
      <c r="B59" s="3">
        <f>ASSESSMENT_METADATA!B4</f>
        <v>0</v>
      </c>
      <c r="C59" s="2" t="s">
        <v>1210</v>
      </c>
      <c r="D59" s="34" t="s">
        <v>161</v>
      </c>
      <c r="E59" s="2" t="s">
        <v>177</v>
      </c>
      <c r="F59" s="2" t="s">
        <v>179</v>
      </c>
      <c r="G59" s="3" t="s">
        <v>2875</v>
      </c>
      <c r="H59" s="35">
        <v>3</v>
      </c>
      <c r="I59" s="3"/>
      <c r="J59" s="3"/>
      <c r="K59" s="8" t="s">
        <v>2717</v>
      </c>
      <c r="L59" s="8" t="s">
        <v>2818</v>
      </c>
      <c r="M59" s="8" t="s">
        <v>2819</v>
      </c>
    </row>
    <row r="60" spans="1:13" ht="37.5" customHeight="1" x14ac:dyDescent="0.35">
      <c r="A60" s="5" t="str">
        <f>ASSESSMENT_METADATA!B3</f>
        <v>JESA-ASSESS-001</v>
      </c>
      <c r="B60" s="5">
        <f>ASSESSMENT_METADATA!B4</f>
        <v>0</v>
      </c>
      <c r="C60" s="4" t="s">
        <v>1220</v>
      </c>
      <c r="D60" s="34" t="s">
        <v>161</v>
      </c>
      <c r="E60" s="4" t="s">
        <v>177</v>
      </c>
      <c r="F60" s="4" t="s">
        <v>185</v>
      </c>
      <c r="G60" s="5" t="s">
        <v>2876</v>
      </c>
      <c r="H60" s="35">
        <v>4</v>
      </c>
      <c r="I60" s="5"/>
      <c r="J60" s="5"/>
      <c r="K60" s="8" t="s">
        <v>2717</v>
      </c>
      <c r="L60" s="8" t="s">
        <v>2818</v>
      </c>
      <c r="M60" s="8" t="s">
        <v>2819</v>
      </c>
    </row>
    <row r="61" spans="1:13" ht="37.5" customHeight="1" x14ac:dyDescent="0.35">
      <c r="A61" s="3" t="str">
        <f>ASSESSMENT_METADATA!B3</f>
        <v>JESA-ASSESS-001</v>
      </c>
      <c r="B61" s="3">
        <f>ASSESSMENT_METADATA!B4</f>
        <v>0</v>
      </c>
      <c r="C61" s="2" t="s">
        <v>1228</v>
      </c>
      <c r="D61" s="34" t="s">
        <v>161</v>
      </c>
      <c r="E61" s="2" t="s">
        <v>177</v>
      </c>
      <c r="F61" s="2" t="s">
        <v>185</v>
      </c>
      <c r="G61" s="3" t="s">
        <v>2877</v>
      </c>
      <c r="H61" s="35">
        <v>4</v>
      </c>
      <c r="I61" s="3"/>
      <c r="J61" s="3"/>
      <c r="K61" s="8" t="s">
        <v>2717</v>
      </c>
      <c r="L61" s="8" t="s">
        <v>2818</v>
      </c>
      <c r="M61" s="8" t="s">
        <v>2819</v>
      </c>
    </row>
    <row r="62" spans="1:13" ht="37.5" customHeight="1" x14ac:dyDescent="0.35">
      <c r="A62" s="5" t="str">
        <f>ASSESSMENT_METADATA!B3</f>
        <v>JESA-ASSESS-001</v>
      </c>
      <c r="B62" s="5">
        <f>ASSESSMENT_METADATA!B4</f>
        <v>0</v>
      </c>
      <c r="C62" s="4" t="s">
        <v>1237</v>
      </c>
      <c r="D62" s="34" t="s">
        <v>161</v>
      </c>
      <c r="E62" s="4" t="s">
        <v>177</v>
      </c>
      <c r="F62" s="4" t="s">
        <v>185</v>
      </c>
      <c r="G62" s="5" t="s">
        <v>2878</v>
      </c>
      <c r="H62" s="35">
        <v>2</v>
      </c>
      <c r="I62" s="5"/>
      <c r="J62" s="5"/>
      <c r="K62" s="8" t="s">
        <v>2717</v>
      </c>
      <c r="L62" s="8" t="s">
        <v>2818</v>
      </c>
      <c r="M62" s="8" t="s">
        <v>2819</v>
      </c>
    </row>
    <row r="65" spans="1:13" ht="15" customHeight="1" x14ac:dyDescent="0.35">
      <c r="A65" s="40" t="s">
        <v>2879</v>
      </c>
      <c r="B65" s="36"/>
      <c r="C65" s="36"/>
      <c r="D65" s="36"/>
      <c r="E65" s="36"/>
      <c r="F65" s="36"/>
      <c r="G65" s="36"/>
      <c r="H65" s="36"/>
      <c r="I65" s="36"/>
      <c r="J65" s="36"/>
      <c r="K65" s="36"/>
      <c r="L65" s="36"/>
      <c r="M65" s="36"/>
    </row>
  </sheetData>
  <autoFilter ref="A2:M2" xr:uid="{00000000-0009-0000-0000-00000A000000}"/>
  <mergeCells count="2">
    <mergeCell ref="A65:M65"/>
    <mergeCell ref="A1:M1"/>
  </mergeCells>
  <dataValidations count="4">
    <dataValidation type="list" allowBlank="1" showErrorMessage="1" errorTitle="Score invalide" error="Entrer un score entre 0 et 5" sqref="H3:H62" xr:uid="{00000000-0002-0000-0A00-000000000000}">
      <formula1>"0,1,2,3,4,5"</formula1>
      <formula2>0</formula2>
    </dataValidation>
    <dataValidation type="list" allowBlank="1" sqref="K3:K62" xr:uid="{00000000-0002-0000-0A00-000001000000}">
      <formula1>"Faible,Moyen,Élevé"</formula1>
      <formula2>0</formula2>
    </dataValidation>
    <dataValidation type="list" allowBlank="1" sqref="L3:L62" xr:uid="{00000000-0002-0000-0A00-000002000000}">
      <formula1>"Applicable,Non applicable"</formula1>
      <formula2>0</formula2>
    </dataValidation>
    <dataValidation type="list" allowBlank="1" sqref="M3:M62" xr:uid="{00000000-0002-0000-0A00-000003000000}">
      <formula1>"Brouillon,Vérifié,Validé"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10</vt:i4>
      </vt:variant>
      <vt:variant>
        <vt:lpstr>Plages nommées</vt:lpstr>
      </vt:variant>
      <vt:variant>
        <vt:i4>10</vt:i4>
      </vt:variant>
    </vt:vector>
  </HeadingPairs>
  <TitlesOfParts>
    <vt:vector size="20" baseType="lpstr">
      <vt:lpstr>ASSESSMENT_METADATA</vt:lpstr>
      <vt:lpstr>HIERARCHY</vt:lpstr>
      <vt:lpstr>GENERIC_MATURITY_SCALE</vt:lpstr>
      <vt:lpstr>DIMENSION_MATURITY_MATRICES</vt:lpstr>
      <vt:lpstr>TARGET_LEVELS</vt:lpstr>
      <vt:lpstr>WEIGHTS_CONFIGURATION</vt:lpstr>
      <vt:lpstr>INDICATORS</vt:lpstr>
      <vt:lpstr>INDICATOR_SCORING_GRIDS</vt:lpstr>
      <vt:lpstr>EVIDENCE_CATALOG</vt:lpstr>
      <vt:lpstr>QUESTIONNAIRE_TEMPLATE</vt:lpstr>
      <vt:lpstr>ASSESSMENT_METADATA!Impression_des_titres</vt:lpstr>
      <vt:lpstr>DIMENSION_MATURITY_MATRICES!Impression_des_titres</vt:lpstr>
      <vt:lpstr>EVIDENCE_CATALOG!Impression_des_titres</vt:lpstr>
      <vt:lpstr>GENERIC_MATURITY_SCALE!Impression_des_titres</vt:lpstr>
      <vt:lpstr>HIERARCHY!Impression_des_titres</vt:lpstr>
      <vt:lpstr>INDICATOR_SCORING_GRIDS!Impression_des_titres</vt:lpstr>
      <vt:lpstr>INDICATORS!Impression_des_titres</vt:lpstr>
      <vt:lpstr>QUESTIONNAIRE_TEMPLATE!Impression_des_titres</vt:lpstr>
      <vt:lpstr>TARGET_LEVELS!Impression_des_titres</vt:lpstr>
      <vt:lpstr>WEIGHTS_CONFIGURATION!Impression_des_titres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REFERENTIEL_GRILLES_MATURITE_DIGITALE_JESA</dc:title>
  <dc:subject>Référentiel évaluation maturité digitale industrielle JESA</dc:subject>
  <dc:creator>JESA Assessment Engine</dc:creator>
  <cp:keywords>maturité digitale OT/IT industrie JESA DMI</cp:keywords>
  <dc:description>5 piliers, 10 dimensions, 20 sous-dimensions, 60 indicateurs. Version 1.0.0 - Chapitre 4 PFA JESA.</dc:description>
  <cp:lastModifiedBy>IGOURZAL Fatima-Ezzahrae</cp:lastModifiedBy>
  <cp:revision>0</cp:revision>
  <dcterms:created xsi:type="dcterms:W3CDTF">2026-08-04T02:09:34Z</dcterms:created>
  <dcterms:modified xsi:type="dcterms:W3CDTF">2026-08-13T08:55:19Z</dcterms:modified>
  <dc:language>en-US</dc:language>
</cp:coreProperties>
</file>