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0f74edf67c9a83d0/"/>
    </mc:Choice>
  </mc:AlternateContent>
  <xr:revisionPtr revIDLastSave="0" documentId="8_{D3DA5D90-BF0B-45C5-8C98-F8B131CEED1A}" xr6:coauthVersionLast="47" xr6:coauthVersionMax="47" xr10:uidLastSave="{00000000-0000-0000-0000-000000000000}"/>
  <bookViews>
    <workbookView xWindow="-110" yWindow="-110" windowWidth="19420" windowHeight="10300" tabRatio="500" firstSheet="9" activeTab="10" xr2:uid="{00000000-000D-0000-FFFF-FFFF00000000}"/>
  </bookViews>
  <sheets>
    <sheet name="README" sheetId="1" r:id="rId1"/>
    <sheet name="ASSESSMENT_METADATA" sheetId="2" r:id="rId2"/>
    <sheet name="HIERARCHY" sheetId="3" r:id="rId3"/>
    <sheet name="GENERIC_MATURITY_SCALE" sheetId="4" r:id="rId4"/>
    <sheet name="DIMENSION_MATURITY_MATRICES" sheetId="5" r:id="rId5"/>
    <sheet name="TARGET_LEVELS" sheetId="6" r:id="rId6"/>
    <sheet name="WEIGHTS_CONFIGURATION" sheetId="7" r:id="rId7"/>
    <sheet name="INDICATORS" sheetId="8" r:id="rId8"/>
    <sheet name="INDICATOR_SCORING_GRIDS" sheetId="9" r:id="rId9"/>
    <sheet name="EVIDENCE_CATALOG" sheetId="10" r:id="rId10"/>
    <sheet name="QUESTIONNAIRE_TEMPLATE" sheetId="11" r:id="rId11"/>
    <sheet name="CALCULATION_RULES" sheetId="12" r:id="rId12"/>
  </sheets>
  <definedNames>
    <definedName name="_xlnm._FilterDatabase" localSheetId="4" hidden="1">DIMENSION_MATURITY_MATRICES!$A$2:$L$2</definedName>
    <definedName name="_xlnm._FilterDatabase" localSheetId="9" hidden="1">EVIDENCE_CATALOG!$A$2:$H$2</definedName>
    <definedName name="_xlnm._FilterDatabase" localSheetId="2" hidden="1">HIERARCHY!$A$2:$J$2</definedName>
    <definedName name="_xlnm._FilterDatabase" localSheetId="8" hidden="1">INDICATOR_SCORING_GRIDS!$A$2:$L$2</definedName>
    <definedName name="_xlnm._FilterDatabase" localSheetId="7" hidden="1">INDICATORS!$A$2:$Q$2</definedName>
    <definedName name="_xlnm._FilterDatabase" localSheetId="10" hidden="1">QUESTIONNAIRE_TEMPLATE!$A$2:$M$2</definedName>
    <definedName name="_xlnm._FilterDatabase" localSheetId="5" hidden="1">TARGET_LEVELS!$A$2:$F$2</definedName>
    <definedName name="_xlnm._FilterDatabase" localSheetId="6" hidden="1">WEIGHTS_CONFIGURATION!$A$2:$J$2</definedName>
    <definedName name="_xlnm.Print_Titles" localSheetId="1">ASSESSMENT_METADATA!$1:$2</definedName>
    <definedName name="_xlnm.Print_Titles" localSheetId="11">CALCULATION_RULES!$1:$2</definedName>
    <definedName name="_xlnm.Print_Titles" localSheetId="4">DIMENSION_MATURITY_MATRICES!$1:$2</definedName>
    <definedName name="_xlnm.Print_Titles" localSheetId="9">EVIDENCE_CATALOG!$1:$2</definedName>
    <definedName name="_xlnm.Print_Titles" localSheetId="3">GENERIC_MATURITY_SCALE!$1:$2</definedName>
    <definedName name="_xlnm.Print_Titles" localSheetId="2">HIERARCHY!$1:$2</definedName>
    <definedName name="_xlnm.Print_Titles" localSheetId="8">INDICATOR_SCORING_GRIDS!$1:$2</definedName>
    <definedName name="_xlnm.Print_Titles" localSheetId="7">INDICATORS!$1:$2</definedName>
    <definedName name="_xlnm.Print_Titles" localSheetId="10">QUESTIONNAIRE_TEMPLATE!$1:$2</definedName>
    <definedName name="_xlnm.Print_Titles" localSheetId="0">README!$1:$2</definedName>
    <definedName name="_xlnm.Print_Titles" localSheetId="5">TARGET_LEVELS!$1:$2</definedName>
    <definedName name="_xlnm.Print_Titles" localSheetId="6">WEIGHTS_CONFIGURATION!$1:$2</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B62" i="11" l="1"/>
  <c r="A62" i="11"/>
  <c r="B61" i="11"/>
  <c r="A61" i="11"/>
  <c r="B60" i="11"/>
  <c r="A60" i="11"/>
  <c r="B59" i="11"/>
  <c r="A59" i="11"/>
  <c r="B58" i="11"/>
  <c r="A58" i="11"/>
  <c r="B57" i="11"/>
  <c r="A57" i="11"/>
  <c r="B56" i="11"/>
  <c r="A56" i="11"/>
  <c r="B55" i="11"/>
  <c r="A55" i="11"/>
  <c r="B54" i="11"/>
  <c r="A54" i="11"/>
  <c r="B53" i="11"/>
  <c r="A53" i="11"/>
  <c r="B52" i="11"/>
  <c r="A52" i="11"/>
  <c r="B51" i="11"/>
  <c r="A51" i="11"/>
  <c r="B50" i="11"/>
  <c r="A50" i="11"/>
  <c r="B49" i="11"/>
  <c r="A49" i="11"/>
  <c r="B48" i="11"/>
  <c r="A48" i="11"/>
  <c r="B47" i="11"/>
  <c r="A47" i="11"/>
  <c r="B46" i="11"/>
  <c r="A46" i="11"/>
  <c r="B45" i="11"/>
  <c r="A45" i="11"/>
  <c r="B44" i="11"/>
  <c r="A44" i="11"/>
  <c r="B43" i="11"/>
  <c r="A43" i="11"/>
  <c r="B42" i="11"/>
  <c r="A42" i="11"/>
  <c r="B41" i="11"/>
  <c r="A41" i="11"/>
  <c r="B40" i="11"/>
  <c r="A40" i="11"/>
  <c r="B39" i="11"/>
  <c r="A39" i="11"/>
  <c r="B38" i="11"/>
  <c r="A38" i="11"/>
  <c r="B37" i="11"/>
  <c r="A37" i="11"/>
  <c r="B36" i="11"/>
  <c r="A36" i="11"/>
  <c r="B35" i="11"/>
  <c r="A35" i="11"/>
  <c r="B34" i="11"/>
  <c r="A34" i="11"/>
  <c r="B33" i="11"/>
  <c r="A33" i="11"/>
  <c r="B32" i="11"/>
  <c r="A32" i="11"/>
  <c r="B31" i="11"/>
  <c r="A31" i="11"/>
  <c r="B30" i="11"/>
  <c r="A30" i="11"/>
  <c r="B29" i="11"/>
  <c r="A29" i="11"/>
  <c r="B28" i="11"/>
  <c r="A28" i="11"/>
  <c r="B27" i="11"/>
  <c r="A27" i="11"/>
  <c r="B26" i="11"/>
  <c r="A26" i="11"/>
  <c r="B25" i="11"/>
  <c r="A25" i="11"/>
  <c r="B24" i="11"/>
  <c r="A24" i="11"/>
  <c r="B23" i="11"/>
  <c r="A23" i="11"/>
  <c r="B22" i="11"/>
  <c r="A22" i="11"/>
  <c r="B21" i="11"/>
  <c r="A21" i="11"/>
  <c r="B20" i="11"/>
  <c r="A20" i="11"/>
  <c r="B19" i="11"/>
  <c r="A19" i="11"/>
  <c r="B18" i="11"/>
  <c r="A18" i="11"/>
  <c r="B17" i="11"/>
  <c r="A17" i="11"/>
  <c r="B16" i="11"/>
  <c r="A16" i="11"/>
  <c r="B15" i="11"/>
  <c r="A15" i="11"/>
  <c r="B14" i="11"/>
  <c r="A14" i="11"/>
  <c r="B13" i="11"/>
  <c r="A13" i="11"/>
  <c r="B12" i="11"/>
  <c r="A12" i="11"/>
  <c r="B11" i="11"/>
  <c r="A11" i="11"/>
  <c r="B10" i="11"/>
  <c r="A10" i="11"/>
  <c r="B9" i="11"/>
  <c r="A9" i="11"/>
  <c r="B8" i="11"/>
  <c r="A8" i="11"/>
  <c r="B7" i="11"/>
  <c r="A7" i="11"/>
  <c r="B6" i="11"/>
  <c r="A6" i="11"/>
  <c r="B5" i="11"/>
  <c r="A5" i="11"/>
  <c r="B4" i="11"/>
  <c r="A4" i="11"/>
  <c r="B3" i="11"/>
  <c r="A3" i="11"/>
  <c r="G37" i="7"/>
  <c r="G36" i="7"/>
  <c r="G35" i="7"/>
  <c r="G34" i="7"/>
  <c r="G33" i="7"/>
  <c r="G32" i="7"/>
  <c r="G31" i="7"/>
  <c r="G30" i="7"/>
  <c r="G29" i="7"/>
  <c r="G28" i="7"/>
  <c r="G27" i="7"/>
  <c r="G26" i="7"/>
  <c r="G25" i="7"/>
  <c r="G24" i="7"/>
  <c r="G23" i="7"/>
  <c r="G22" i="7"/>
  <c r="G21" i="7"/>
  <c r="G20" i="7"/>
  <c r="G19" i="7"/>
  <c r="G18" i="7"/>
  <c r="G17" i="7"/>
  <c r="G16" i="7"/>
  <c r="G15" i="7"/>
  <c r="G14" i="7"/>
  <c r="G13" i="7"/>
  <c r="G12" i="7"/>
  <c r="G11" i="7"/>
  <c r="G10" i="7"/>
  <c r="G9" i="7"/>
  <c r="G8" i="7"/>
  <c r="G7" i="7"/>
  <c r="G6" i="7"/>
  <c r="G5" i="7"/>
  <c r="G4" i="7"/>
  <c r="G3" i="7"/>
  <c r="E12" i="6"/>
  <c r="E11" i="6"/>
  <c r="E10" i="6"/>
  <c r="E9" i="6"/>
  <c r="E8" i="6"/>
  <c r="E7" i="6"/>
  <c r="E6" i="6"/>
  <c r="E5" i="6"/>
  <c r="E4" i="6"/>
  <c r="E3" i="6"/>
</calcChain>
</file>

<file path=xl/sharedStrings.xml><?xml version="1.0" encoding="utf-8"?>
<sst xmlns="http://schemas.openxmlformats.org/spreadsheetml/2006/main" count="7034" uniqueCount="2609">
  <si>
    <t>REFERENTIEL_GRILLES_MATURITE_DIGITALE_JESA — Guide d'utilisation</t>
  </si>
  <si>
    <t>FINALITÉ DU CLASSEUR</t>
  </si>
  <si>
    <t>STRUCTURE DU RÉFÉRENTIEL</t>
  </si>
  <si>
    <t>Le référentiel est organisé selon une hiérarchie à 4 niveaux :
• Piliers (5) → Dimensions (10) → Sous-dimensions (20) → Indicateurs (60)
L'agrégation des scores est ascendante : des indicateurs vers le DMI (Digital Maturity Index).</t>
  </si>
  <si>
    <t>RÔLE DE CHAQUE FEUILLE</t>
  </si>
  <si>
    <t>README             : Ce guide d'utilisation.</t>
  </si>
  <si>
    <t>ASSESSMENT_METADATA: Saisie des informations de campagne d'évaluation.</t>
  </si>
  <si>
    <t>HIERARCHY          : Référence complète des 20 sous-dimensions avec objectifs et risques.</t>
  </si>
  <si>
    <t>GENERIC_MATURITY_SCALE: Définition des 6 niveaux (0-5) applicables à l'ensemble du référentiel.</t>
  </si>
  <si>
    <t>DIMENSION_MATURITY_MATRICES: Description de ce que signifie chaque niveau (0-5) pour chacune des 10 dimensions.</t>
  </si>
  <si>
    <t>TARGET_LEVELS      : Saisie des niveaux cibles par dimension (par l'évaluateur).</t>
  </si>
  <si>
    <t>WEIGHTS_CONFIGURATION: Configuration des pondérations (par défaut égales, personnalisables).</t>
  </si>
  <si>
    <t>INDICATORS         : Les 60 indicateurs avec questions d'évaluation et métadonnées.</t>
  </si>
  <si>
    <t>INDICATOR_SCORING_GRIDS: Les 360 descriptions de scoring (60 indicateurs × 6 niveaux).</t>
  </si>
  <si>
    <t>EVIDENCE_CATALOG   : Catalogue des types de preuves acceptables.</t>
  </si>
  <si>
    <t>QUESTIONNAIRE_TEMPLATE: Feuille de saisie terrain (60 lignes, une par indicateur).</t>
  </si>
  <si>
    <t>CALCULATION_RULES  : Documentation des règles de calcul du moteur d'évaluation.</t>
  </si>
  <si>
    <t>LOGIQUE DES IDENTIFIANTS</t>
  </si>
  <si>
    <t>• Piliers : P1 à P5
• Dimensions : D1 à D10
• Sous-dimensions : SD1.1, SD1.2, SD2.1, ..., SD10.2
• Indicateurs : I-D1-01 à I-D10-06 (format I-{DimID}-{N°:02d})
• Preuves : EV-001 à EV-030</t>
  </si>
  <si>
    <t>NOTE SAISIE vs SCORE CALCULÉ</t>
  </si>
  <si>
    <t>• NOTE SAISIE : Valeur entière [0-5] choisie par l'évaluateur dans QUESTIONNAIRE_TEMPLATE pour chaque indicateur, sur la base des grilles de scoring.
• SCORE CALCULÉ : Valeur calculée automatiquement par le moteur d'évaluation à partir des notes saisies, pour chaque sous-dimension, dimension, pilier et le DMI global.</t>
  </si>
  <si>
    <t>NIVEAU ACTUEL vs NIVEAU CIBLE</t>
  </si>
  <si>
    <t>MATRICE DE DIMENSION vs GRILLE D'INDICATEUR</t>
  </si>
  <si>
    <t>• MATRICE DE DIMENSION (feuille DIMENSION_MATURITY_MATRICES) : Décrit ce que signifie un niveau de maturité (0-5) pour une DIMENSION ENTIÈRE. Aide l'évaluateur à choisir une cible réaliste et à interpréter le score calculé.
• GRILLE D'INDICATEUR (feuille INDICATOR_SCORING_GRIDS) : Décrit six situations observables pour un INDICATEUR SPÉCIFIQUE, permettant de choisir la note [0-5] sans ambiguïté.</t>
  </si>
  <si>
    <t>LOGIQUE DE PONDÉRATION</t>
  </si>
  <si>
    <t>Par défaut, toutes les pondérations sont égales :
• 2 sous-dimensions par dimension : 0,5 chacune
• 2 dimensions par pilier : 0,5 chacune
• 5 piliers : 0,2 chacun
Toute personnalisation doit être documentée et justifiée dans WEIGHTS_CONFIGURATION.</t>
  </si>
  <si>
    <t>ASSESSMENT_METADATA — Informations de campagne d'évaluation</t>
  </si>
  <si>
    <t>Field_Name</t>
  </si>
  <si>
    <t>Field_Value</t>
  </si>
  <si>
    <t>Notes</t>
  </si>
  <si>
    <t>Assessment_ID</t>
  </si>
  <si>
    <t>JESA-ASSESS-001</t>
  </si>
  <si>
    <t>Identifiant unique de la campagne. Format : JESA-ASSESS-NNN</t>
  </si>
  <si>
    <t>Site_ID</t>
  </si>
  <si>
    <t>Identifiant unique du site industriel évalué</t>
  </si>
  <si>
    <t>Site_Name</t>
  </si>
  <si>
    <t>Nom complet du site (ex : Laverie de phosphate Beni Amir)</t>
  </si>
  <si>
    <t>Industrial_Sector</t>
  </si>
  <si>
    <t>Secteur industriel (ex : Minier, Chimie, Agroalimentaire, Énergie)</t>
  </si>
  <si>
    <t>Plant_Unit</t>
  </si>
  <si>
    <t>Unité ou atelier évalué (ex : Unité de lavage, Section broyage)</t>
  </si>
  <si>
    <t>Location</t>
  </si>
  <si>
    <t>Localisation géographique du site</t>
  </si>
  <si>
    <t>Assessment_Date</t>
  </si>
  <si>
    <t>Date de début de l'évaluation (YYYY-MM-DD)</t>
  </si>
  <si>
    <t>Evaluator_Name</t>
  </si>
  <si>
    <t>Nom complet de l'évaluateur principal</t>
  </si>
  <si>
    <t>Evaluator_Function</t>
  </si>
  <si>
    <t>Fonction et organisation de l'évaluateur</t>
  </si>
  <si>
    <t>Assessment_Version</t>
  </si>
  <si>
    <t>1.0.0</t>
  </si>
  <si>
    <t>Version de cette campagne d'évaluation</t>
  </si>
  <si>
    <t>Reference_Framework_Version</t>
  </si>
  <si>
    <t>Version du référentiel JESA utilisé</t>
  </si>
  <si>
    <t>General_Comments</t>
  </si>
  <si>
    <t>Observations générales sur le contexte de l'évaluation</t>
  </si>
  <si>
    <t>HIERARCHY — Architecture du référentiel (20 sous-dimensions)</t>
  </si>
  <si>
    <t>Pillar_ID</t>
  </si>
  <si>
    <t>Pillar_Name</t>
  </si>
  <si>
    <t>Dimension_ID</t>
  </si>
  <si>
    <t>Dimension_Name</t>
  </si>
  <si>
    <t>Subdimension_ID</t>
  </si>
  <si>
    <t>Subdimension_Name</t>
  </si>
  <si>
    <t>Dimension_Objective</t>
  </si>
  <si>
    <t>Subdimension_Objective</t>
  </si>
  <si>
    <t>Industrial_Capability</t>
  </si>
  <si>
    <t>Main_Risks_If_Weak</t>
  </si>
  <si>
    <t>Source_Reference</t>
  </si>
  <si>
    <t>Expert_Validation_Status</t>
  </si>
  <si>
    <t>P1</t>
  </si>
  <si>
    <t>Infrastructure numérique</t>
  </si>
  <si>
    <t>D1</t>
  </si>
  <si>
    <t>Infrastructure OT/IT</t>
  </si>
  <si>
    <t>SD1.1</t>
  </si>
  <si>
    <t>Réseau OT &amp; Disponibilité</t>
  </si>
  <si>
    <t>Garantir la robustesse, la disponibilité et la résilience de l'infrastructure numérique OT/IT du site</t>
  </si>
  <si>
    <t>Évaluer la couverture réseau, la redondance et la disponibilité des infrastructures OT sur le site</t>
  </si>
  <si>
    <t>Réseau industriel redondant, disponibilité ≥ 99,5 %, segmentation L0-L2</t>
  </si>
  <si>
    <t>Défaillance réseau non détectée, perte de production non maîtrisée, absence de redondance</t>
  </si>
  <si>
    <t>À valider</t>
  </si>
  <si>
    <t>SD1.2</t>
  </si>
  <si>
    <t>Serveurs &amp; Virtualisation</t>
  </si>
  <si>
    <t>Évaluer le niveau de virtualisation, la capacité de réserve et la résilience des serveurs OT/IT</t>
  </si>
  <si>
    <t>Virtualisation déployée, capacité de réserve ≥ 30 %, restauration documentée</t>
  </si>
  <si>
    <t>Perte de données opérationnelles, temps de reprise inconnu, serveurs physiques obsolètes</t>
  </si>
  <si>
    <t>D2</t>
  </si>
  <si>
    <t>Connectivité &amp; Réseaux</t>
  </si>
  <si>
    <t>SD2.1</t>
  </si>
  <si>
    <t>Protocoles &amp; Interopérabilité</t>
  </si>
  <si>
    <t>Assurer la connectivité standardisée et l'intégration des systèmes OT et IT du site</t>
  </si>
  <si>
    <t>Évaluer l'utilisation de protocoles normalisés (OPC UA, Modbus TCP, PROFINET) pour les échanges OT</t>
  </si>
  <si>
    <t>Protocoles normalisés déployés, OPC UA opérationnel, interfaces documentées</t>
  </si>
  <si>
    <t>Données bloquées en silo, intégration systèmes impossible, protocoles propriétaires non évolutifs</t>
  </si>
  <si>
    <t>SD2.2</t>
  </si>
  <si>
    <t>Intégration OT/IT</t>
  </si>
  <si>
    <t>Évaluer la capacité des systèmes OT et IT à échanger des données de manière structurée et automatisée</t>
  </si>
  <si>
    <t>Intégration OT/IT bidirectionnelle, data node opérationnel, flux de données automatisés</t>
  </si>
  <si>
    <t>Silos OT/IT, décisions opérationnelles fondées sur des données manuelles, latence élevée</t>
  </si>
  <si>
    <t>P2</t>
  </si>
  <si>
    <t>Opérations digitales</t>
  </si>
  <si>
    <t>D3</t>
  </si>
  <si>
    <t>Automatisation &amp; Contrôle</t>
  </si>
  <si>
    <t>SD3.1</t>
  </si>
  <si>
    <t>Automates &amp; Contrôle (DCS/PLC)</t>
  </si>
  <si>
    <t>Évaluer le niveau d'automatisation et de contrôle numérique des procédés de production</t>
  </si>
  <si>
    <t>Évaluer la couverture et la sophistication des systèmes de contrôle distribué (DCS) et automates (PLC)</t>
  </si>
  <si>
    <t>DCS/PLC couvrant ≥ 80 % des boucles critiques, paramétrage documenté, alarmes gérées</t>
  </si>
  <si>
    <t>Contrôle manuel des procédés, variabilité produit élevée, incidents non anticipés</t>
  </si>
  <si>
    <t>SD3.2</t>
  </si>
  <si>
    <t>Système d'Exécution de la Fabrication (MES) &amp; Ordonnancement</t>
  </si>
  <si>
    <t>Évaluer la capacité à planifier, suivre et optimiser l'exécution de la production via un MES</t>
  </si>
  <si>
    <t>MES déployé et interfacé au DCS, ordonnancement automatisé, traçabilité lots opérationnelle</t>
  </si>
  <si>
    <t>Absence de traçabilité production, ordonnancement manuel, écarts planifié/réel non analysés</t>
  </si>
  <si>
    <t>Chapitre 4 JESA ; Mining 5.0 site edge hosts</t>
  </si>
  <si>
    <t>D4</t>
  </si>
  <si>
    <t>Supervision &amp; Monitoring</t>
  </si>
  <si>
    <t>SD4.1</t>
  </si>
  <si>
    <t>Acquisition &amp; Contrôle (SCADA) &amp; Interface Opérateur (HMI)</t>
  </si>
  <si>
    <t>Évaluer la qualité de la supervision temps réel et la capacité de maintenance prédictive</t>
  </si>
  <si>
    <t>Évaluer la couverture SCADA, la qualité des IHM et la disponibilité des données temps réel pour les opérateurs</t>
  </si>
  <si>
    <t>SCADA couvrant l'ensemble du procédé, HMI standardisées, données temps réel accessibles salle de contrôle</t>
  </si>
  <si>
    <t>Supervision partielle, décisions opérateur sans données fiables, incidents détectés tardivement</t>
  </si>
  <si>
    <t>SD4.2</t>
  </si>
  <si>
    <t>Maintenance prédictive</t>
  </si>
  <si>
    <t>Évaluer la capacité à anticiper les défaillances d'équipements grâce à l'analyse de données capteurs</t>
  </si>
  <si>
    <t>Capteurs de surveillance déployés, algorithmes prédictifs actifs, alertes maintenance automatisées</t>
  </si>
  <si>
    <t>Maintenance uniquement curative, arrêts non planifiés fréquents, coûts maintenance élevés</t>
  </si>
  <si>
    <t>P3</t>
  </si>
  <si>
    <t>Données &amp; Intelligence</t>
  </si>
  <si>
    <t>D5</t>
  </si>
  <si>
    <t>Gestion des données</t>
  </si>
  <si>
    <t>SD5.1</t>
  </si>
  <si>
    <t>Historian &amp; Traçabilité</t>
  </si>
  <si>
    <t>Évaluer la capacité à collecter, historiser et gouverner les données industrielles</t>
  </si>
  <si>
    <t>Évaluer l'existence, la couverture et la fiabilité du système d'historisation des données industrielles</t>
  </si>
  <si>
    <t>Historian opérationnel, rétention ≥ 12 mois, données horodatées et traçables jusqu'au capteur</t>
  </si>
  <si>
    <t>Perte de données historiques, impossibilité d'analyser les causes racines, non-conformité traçabilité</t>
  </si>
  <si>
    <t>Chapitre 4 JESA ; Mining 5.0 Historian VM</t>
  </si>
  <si>
    <t>SD5.2</t>
  </si>
  <si>
    <t>Qualité &amp; Gouvernance des données</t>
  </si>
  <si>
    <t>Évaluer l'existence de règles, rôles et processus garantissant la fiabilité et l'intégrité des données</t>
  </si>
  <si>
    <t>Politique qualité données formalisée, référentiel données défini, responsable données identifié</t>
  </si>
  <si>
    <t>Données non fiables pour la décision, doublons, erreurs non détectées, absence de référentiel</t>
  </si>
  <si>
    <t>Chapitre 4 JESA</t>
  </si>
  <si>
    <t>D6</t>
  </si>
  <si>
    <t>Analyse &amp; Intelligence Artificielle</t>
  </si>
  <si>
    <t>SD6.1</t>
  </si>
  <si>
    <t>Analytique &amp; Reporting</t>
  </si>
  <si>
    <t>Évaluer la capacité à valoriser les données par l'analytique et l'intelligence artificielle</t>
  </si>
  <si>
    <t>Évaluer la capacité à produire des analyses et tableaux de bord opérationnels à partir des données du site</t>
  </si>
  <si>
    <t>Tableaux de bord KPI temps réel, reporting automatisé, analyses causes racines documentées</t>
  </si>
  <si>
    <t>Pilotage par intuition, KPI calculés manuellement, rapports produits avec délai &gt; 24h</t>
  </si>
  <si>
    <t>SD6.2</t>
  </si>
  <si>
    <t>Intelligence Artificielle (IA) &amp; Modélisation</t>
  </si>
  <si>
    <t>Évaluer l'existence et la maturité des modèles d'IA ou de simulation appliqués aux procédés industriels</t>
  </si>
  <si>
    <t>Modèles IA déployés en production, résultats validés opérateurs, pipeline ML documenté</t>
  </si>
  <si>
    <t>Aucune optimisation automatisée, décisions uniquement basées sur l'expérience humaine</t>
  </si>
  <si>
    <t>Chapitre 4 JESA ; Mining 5.0 APC VM</t>
  </si>
  <si>
    <t>P4</t>
  </si>
  <si>
    <t>Gouvernance &amp; Cybersécurité</t>
  </si>
  <si>
    <t>D7</t>
  </si>
  <si>
    <t>Cybersécurité OT/IT</t>
  </si>
  <si>
    <t>SD7.1</t>
  </si>
  <si>
    <t>Sécurité périmétrique &amp; Segmentation</t>
  </si>
  <si>
    <t>Évaluer la robustesse de la cybersécurité des systèmes OT/IT du site</t>
  </si>
  <si>
    <t>Évaluer l'existence et l'efficacité des pare-feux, zones DMZ et segmentation entre niveaux OT/IT</t>
  </si>
  <si>
    <t>DMZ L3.5 opérationnelle, firewalls inter-zones déployés, segmentation L0-L4 documentée</t>
  </si>
  <si>
    <t>Propagation latérale d'incidents cyber, absence de cloisonnement OT/IT, attaques non détectées</t>
  </si>
  <si>
    <t>SD7.2</t>
  </si>
  <si>
    <t>Gestion des accès &amp; Authentification</t>
  </si>
  <si>
    <t>Évaluer la rigueur de la gestion des identités, des habilitations et de l'authentification sur les systèmes OT</t>
  </si>
  <si>
    <t>Active Directory OT opérationnel, MFA déployé sur accès critiques, revue accès périodique</t>
  </si>
  <si>
    <t>Comptes partagés, accès non tracés, compromission possible par des comptes non révoqués</t>
  </si>
  <si>
    <t>D8</t>
  </si>
  <si>
    <t>Gouvernance numérique</t>
  </si>
  <si>
    <t>SD8.1</t>
  </si>
  <si>
    <t>Politiques &amp; Processus digitaux</t>
  </si>
  <si>
    <t>Évaluer la maturité de la gouvernance et de la conformité digitale du site</t>
  </si>
  <si>
    <t>Évaluer la formalisation des politiques, procédures et processus liés au numérique industriel</t>
  </si>
  <si>
    <t>Politique digitale formalisée et approuvée, processus changement documentés, KPI gouvernance définis</t>
  </si>
  <si>
    <t>Transformation non encadrée, projets digitaux sans cohérence, risques non gouvernés</t>
  </si>
  <si>
    <t>SD8.2</t>
  </si>
  <si>
    <t>Conformité &amp; Audit</t>
  </si>
  <si>
    <t>Évaluer l'existence de processus d'audit, de contrôle et de conformité des systèmes OT/IT</t>
  </si>
  <si>
    <t>Audits OT/IT planifiés et réalisés, non-conformités tracées, plan de remédiation actif</t>
  </si>
  <si>
    <t>Non-détection des vulnérabilités, risques réglementaires, incidents récurrents non résolus</t>
  </si>
  <si>
    <t>P5</t>
  </si>
  <si>
    <t>Capital humain &amp; Compétences</t>
  </si>
  <si>
    <t>D9</t>
  </si>
  <si>
    <t>Compétences &amp; Formation</t>
  </si>
  <si>
    <t>SD9.1</t>
  </si>
  <si>
    <t>Niveaux de compétences digitales</t>
  </si>
  <si>
    <t>Évaluer le niveau de compétences digitales et la capacité de développement des équipes</t>
  </si>
  <si>
    <t>Évaluer le niveau de compétences digitales des personnels (opérateurs, techniciens, ingénieurs) du site</t>
  </si>
  <si>
    <t>Cartographie compétences réalisée, niveaux digitaux évalués, gaps identifiés par fonction</t>
  </si>
  <si>
    <t>Utilisation sous-optimale des outils, résistance au changement, incidents liés à l'erreur humaine</t>
  </si>
  <si>
    <t>SD9.2</t>
  </si>
  <si>
    <t>Plans de formation &amp; Développement</t>
  </si>
  <si>
    <t>Évaluer la structuration et l'exécution des plans de formation aux outils et technologies numériques</t>
  </si>
  <si>
    <t>Plan de formation digitale formalisé, exécuté et mesuré, budget dédié alloué</t>
  </si>
  <si>
    <t>Compétences obsolètes, projets digitaux non adoptés, formation uniquement corrective</t>
  </si>
  <si>
    <t>Chapitre 4 JESA ; Réquisition Beni Amir item 10</t>
  </si>
  <si>
    <t>D10</t>
  </si>
  <si>
    <t>Culture digitale &amp; Organisation</t>
  </si>
  <si>
    <t>SD10.1</t>
  </si>
  <si>
    <t>Adoption des outils numériques</t>
  </si>
  <si>
    <t>Évaluer la culture digitale et la capacité organisationnelle à innover</t>
  </si>
  <si>
    <t>Évaluer le taux d'adoption effectif des outils numériques déployés dans les opérations quotidiennes</t>
  </si>
  <si>
    <t>Taux d'adoption ≥ 80 % des outils déployés, usage mesuré, feedback utilisateurs structuré</t>
  </si>
  <si>
    <t>Outils déployés mais non utilisés, retour au papier, investissements non valorisés</t>
  </si>
  <si>
    <t>SD10.2</t>
  </si>
  <si>
    <t>Innovation &amp; Amélioration continue</t>
  </si>
  <si>
    <t>Évaluer l'existence de processus structurés d'innovation digitale et d'amélioration continue des systèmes</t>
  </si>
  <si>
    <t>Démarche amélioration continue documentée, projets innovation digitale actifs, retours d'expérience intégrés</t>
  </si>
  <si>
    <t>Stagnation technologique, absence de veille, innovations non capitalisées</t>
  </si>
  <si>
    <t>GENERIC_MATURITY_SCALE — Échelle de maturité générique (0-5)</t>
  </si>
  <si>
    <t>Level</t>
  </si>
  <si>
    <t>Level_Name</t>
  </si>
  <si>
    <t>Generic_Description</t>
  </si>
  <si>
    <t>Generic_Evaluation_Principle</t>
  </si>
  <si>
    <t>Minimum_Evidence_Principle</t>
  </si>
  <si>
    <t>Absence</t>
  </si>
  <si>
    <t>Aucune initiative digitale identifiée. Les processus sont entièrement manuels ou analogiques.</t>
  </si>
  <si>
    <t>Constater l'absence totale d'outils numériques opérationnels dans le périmètre évalué.</t>
  </si>
  <si>
    <t>Aucun document, aucun outil, aucune mesure observable. Seule l'absence est constatable.</t>
  </si>
  <si>
    <t>Informatisation</t>
  </si>
  <si>
    <t>Des outils numériques sont déployés ponctuellement pour remplacer certaines tâches manuelles. Les solutions restent locales, peu standardisées et fonctionnent indépendamment.</t>
  </si>
  <si>
    <t>Vérifier l'existence d'outils numériques déployés, même partiellement, sans intégration entre eux.</t>
  </si>
  <si>
    <t>Présence d'au moins un outil numérique opérationnel, même isolé. Documentation minimale existante.</t>
  </si>
  <si>
    <t>Connectivité</t>
  </si>
  <si>
    <t>Les systèmes industriels et informatiques (OT/IT) sont interconnectés et échangent des données de manière fiable via des interfaces ou des protocoles normalisés. Les premières intégrations sont opérationnelles.</t>
  </si>
  <si>
    <t>Vérifier l'existence d'échanges de données structurés et fiables entre au moins deux systèmes distincts.</t>
  </si>
  <si>
    <t>Au moins une interface inter-systèmes documentée et opérationnelle. Protocole normalisé utilisé.</t>
  </si>
  <si>
    <t>Visibilité</t>
  </si>
  <si>
    <t>Les données sont centralisées, historisées et accessibles en temps réel. Des tableaux de bord et des indicateurs de performance soutiennent le pilotage quotidien des opérations.</t>
  </si>
  <si>
    <t>Vérifier que les données sont accessibles en temps réel et utilisées pour le pilotage opérationnel.</t>
  </si>
  <si>
    <t>Tableau de bord opérationnel actif. Données historisées accessibles. KPI définis et affichés.</t>
  </si>
  <si>
    <t>Maîtrise &amp; Optimisation</t>
  </si>
  <si>
    <t>Les données sont exploitées pour analyser les performances, identifier les causes des écarts et mettre en œuvre des actions d'amélioration. Des fonctions d'analyse avancée et de maintenance prédictive sont en cours de déploiement.</t>
  </si>
  <si>
    <t>Vérifier que les analyses produisent des actions d'amélioration documentées et mesurables.</t>
  </si>
  <si>
    <t>Analyses causes racines documentées. Actions correctives tracées. Indicateurs de performance en amélioration.</t>
  </si>
  <si>
    <t>Excellence digitale supervisée</t>
  </si>
  <si>
    <t>Les systèmes assistent ou automatisent la prise de décision grâce à des analyses avancées et à l'intelligence artificielle (IA). L'organisation est engagée dans une amélioration continue fondée sur les données, avec une gouvernance numérique pleinement maîtrisée.</t>
  </si>
  <si>
    <t>Vérifier que des systèmes d'aide à la décision automatisés sont opérationnels et produisent des résultats mesurables.</t>
  </si>
  <si>
    <t>Modèles prédictifs ou prescriptifs en production. Gouvernance numérique formalisée. Amélioration continue mesurée.</t>
  </si>
  <si>
    <t>DIMENSION_MATURITY_MATRICES — Signification des niveaux 0-5 par dimension (60 lignes)</t>
  </si>
  <si>
    <t>Dimension_Level_Description</t>
  </si>
  <si>
    <t>Key_Capabilities_Expected</t>
  </si>
  <si>
    <t>Typical_Observed_State</t>
  </si>
  <si>
    <t>Minimum_Conditions</t>
  </si>
  <si>
    <t>Possible_Evidence</t>
  </si>
  <si>
    <t>Main_Limit_Preventing_Next_Level</t>
  </si>
  <si>
    <t>Recommended_Target_Use</t>
  </si>
  <si>
    <t>Aucune infrastructure numérique OT spécifique. Les équipements de terrain fonctionnent sans réseau industriel dédié ni serveurs OT.</t>
  </si>
  <si>
    <t>Aucun</t>
  </si>
  <si>
    <t>Équipements autonomes, commande locale uniquement, aucun réseau industriel identifié</t>
  </si>
  <si>
    <t>Pas d'équipements réseau OT, pas de serveurs industriels, aucune documentation d'infrastructure</t>
  </si>
  <si>
    <t>Inventaire des équipements terrain, relevé terrain</t>
  </si>
  <si>
    <t>Absence de tout réseau OT structuré</t>
  </si>
  <si>
    <t>Valeur de référence. Non recommandé comme cible.</t>
  </si>
  <si>
    <t>Des équipements OT individuels (automates, capteurs) sont en place mais non interconnectés. Des serveurs isolés peuvent exister pour des usages locaux spécifiques.</t>
  </si>
  <si>
    <t>Présence d'automates ou capteurs numériques isolés</t>
  </si>
  <si>
    <t>Automates indépendants, serveurs locaux dédiés à une fonction, absence de réseau unificateur</t>
  </si>
  <si>
    <t>Au moins un automate numérique opérationnel, au moins un serveur local en service</t>
  </si>
  <si>
    <t>Liste des équipements OT, fiches techniques automates</t>
  </si>
  <si>
    <t>Absence de réseau OT fédérateur reliant les équipements</t>
  </si>
  <si>
    <t>Applicable uniquement aux sites en phase initiale de numérisation.</t>
  </si>
  <si>
    <t>Un réseau OT est déployé sur une partie significative du site. Les équipements de terrain sont connectés via un réseau industriel structuré. Des serveurs partagés sont opérationnels.</t>
  </si>
  <si>
    <t>Réseau OT déployé sur ≥ 50 % des équipements critiques, serveurs partagés en service</t>
  </si>
  <si>
    <t>Réseau Ethernet industriel opérationnel, serveurs OT accessibles depuis la salle de contrôle</t>
  </si>
  <si>
    <t>Architecture réseau OT documentée, au moins 50 % des équipements critiques connectés</t>
  </si>
  <si>
    <t>Schéma réseau OT, liste des équipements connectés, journal des incidents réseau</t>
  </si>
  <si>
    <t>Absence de redondance réseau, couverture partielle, virtualisation non déployée</t>
  </si>
  <si>
    <t>Cible minimale pour un site en cours de modernisation.</t>
  </si>
  <si>
    <t>L'infrastructure OT est complète et documentée. La topologie réseau est connue et maintenue. La virtualisation est déployée pour les fonctions critiques. La disponibilité est mesurée.</t>
  </si>
  <si>
    <t>Réseau OT couvrant ≥ 90 % du site, virtualisation déployée sur serveurs critiques, disponibilité mesurée</t>
  </si>
  <si>
    <t>Infrastructure documentée, supervision réseau active (NMS), indicateurs de disponibilité affichés</t>
  </si>
  <si>
    <t>Architecture réseau complète documentée, NMS opérationnel, virtualisation active, disponibilité ≥ 99 %</t>
  </si>
  <si>
    <t>Schéma réseau à jour, tableaux de bord NMS, rapports de disponibilité mensuels</t>
  </si>
  <si>
    <t>Absence de redondance N+1 sur chemins critiques, plan de reprise non formalisé</t>
  </si>
  <si>
    <t>Cible recommandée pour la majorité des sites industriels.</t>
  </si>
  <si>
    <t>L'infrastructure est redondante, résiliente et gérée de manière proactive. Les anomalies sont détectées automatiquement. La capacité de réserve est planifiée et documentée.</t>
  </si>
  <si>
    <t>Redondance N+1 sur chemins critiques, détection automatique des anomalies, capacité de réserve ≥ 30 %</t>
  </si>
  <si>
    <t>Infrastructure supervisée en temps réel, alertes automatiques sur incidents, plan de capacité actif</t>
  </si>
  <si>
    <t>Redondance documentée et testée, capacité de réserve ≥ 30 % sur serveurs et réseau, procédures de bascule</t>
  </si>
  <si>
    <t>Tests de bascule documentés, rapports de capacité, historique d'incidents résolus</t>
  </si>
  <si>
    <t>Absence de mécanismes d'auto-guérison ou d'optimisation dynamique du réseau</t>
  </si>
  <si>
    <t>Cible pour les sites à enjeux de continuité de production élevés.</t>
  </si>
  <si>
    <t>Infrastructure entièrement résiliente et auto-adaptative. Gestion prédictive de la capacité. Virtualisation complète avec orchestration. Métriques d'infrastructure alimentent les décisions opérationnelles.</t>
  </si>
  <si>
    <t>Infrastructure définie par logiciel (SDN/virtualisation complète), gestion prédictive de capacité, zéro interruption non planifiée</t>
  </si>
  <si>
    <t>Auto-guérison du réseau, provisionnement dynamique, SLA d'infrastructure mesurés et tenus</t>
  </si>
  <si>
    <t>Plan de capacité prédictif actif, SLA infrastructure ≥ 99,9 %, aucune interruption non planifiée sur 12 mois</t>
  </si>
  <si>
    <t>Rapports SLA, modèles de prédiction de capacité, historique zéro incident non planifié</t>
  </si>
  <si>
    <t>Aucun — niveau d'excellence</t>
  </si>
  <si>
    <t>Cible pour les sites à haute criticité ou programmes d'excellence opérationnelle.</t>
  </si>
  <si>
    <t>Aucun protocole industriel normalisé. Les échanges entre systèmes sont inexistants ou entièrement manuels (fichiers CSV, saisie manuelle).</t>
  </si>
  <si>
    <t>Systèmes totalement cloisonnés, aucun échange automatisé de données</t>
  </si>
  <si>
    <t>Aucune interface inter-systèmes, aucun protocole industriel documenté</t>
  </si>
  <si>
    <t>Relevé terrain, entretiens opérateurs</t>
  </si>
  <si>
    <t>Absence de tout protocole normalisé</t>
  </si>
  <si>
    <t>Non recommandé comme cible.</t>
  </si>
  <si>
    <t>Des protocoles propriétaires ou des échanges manuels de fichiers existent entre certains systèmes. Les premières tentatives d'intégration sont en place mais non standardisées.</t>
  </si>
  <si>
    <t>Au moins un protocole de communication actif (même propriétaire)</t>
  </si>
  <si>
    <t>Échanges de fichiers CSV/Excel entre systèmes, protocoles propriétaires par équipement</t>
  </si>
  <si>
    <t>Au moins un mécanisme d'échange de données entre systèmes, même manuel</t>
  </si>
  <si>
    <t>Fichiers d'échange, documentation des interfaces existantes</t>
  </si>
  <si>
    <t>Absence de protocoles normalisés, intégrations non documentées</t>
  </si>
  <si>
    <t>Applicable en phase initiale uniquement.</t>
  </si>
  <si>
    <t>Des protocoles industriels normalisés (Modbus TCP, OPC DA, PROFINET) sont déployés sur au moins 50 % des interfaces critiques. Les premières intégrations OT/IT sont opérationnelles.</t>
  </si>
  <si>
    <t>Protocoles normalisés sur ≥ 50 % des interfaces, au moins une intégration OT/IT fonctionnelle</t>
  </si>
  <si>
    <t>Modbus TCP ou équivalent déployé, OPC DA ou similaire actif sur certains systèmes</t>
  </si>
  <si>
    <t>Au moins 50 % des interfaces critiques documentées avec protocole normalisé</t>
  </si>
  <si>
    <t>Liste des interfaces, documentation protocoles, tests de communication</t>
  </si>
  <si>
    <t>OPC DA déprécié, migration OPC UA non initiée, absence de serveur d'interopérabilité centralisé</t>
  </si>
  <si>
    <t>Cible minimale pour débuter l'intégration OT/IT.</t>
  </si>
  <si>
    <t>OPC UA ou équivalent déployé sur les interfaces principales. Un serveur d'interopérabilité centralisé est opérationnel. L'intégration L2-L3 est réalisée pour les données critiques.</t>
  </si>
  <si>
    <t>OPC UA déployé, serveur d'interopérabilité opérationnel, intégration L2-L3 active</t>
  </si>
  <si>
    <t>OPC UA Server VM opérationnel, données process accessibles au niveau L3</t>
  </si>
  <si>
    <t>OPC UA Server déployé et documenté, intégration L2-L3 pour ≥ 80 % des données critiques</t>
  </si>
  <si>
    <t>Documentation OPC UA, schéma d'intégration L2-L3, rapports de flux de données</t>
  </si>
  <si>
    <t>Intégration L3-L4 (vers ERP/IT) non encore réalisée</t>
  </si>
  <si>
    <t>Cible standard pour tout site industriel moderne.</t>
  </si>
  <si>
    <t>Intégration verticale complète L0-L4. Tous les systèmes clés communiquent via des protocoles normalisés. Les flux de données sont monitorés et documentés. Latence et fiabilité mesurées.</t>
  </si>
  <si>
    <t>Intégration L0-L4 complète, monitoring des flux, latence &lt; seuils définis</t>
  </si>
  <si>
    <t>Data Node opérationnel, tous les systèmes intégrés, monitoring des échanges actif</t>
  </si>
  <si>
    <t>Intégration documentée L0-L4, monitoring des flux de données, SLA de latence définis et mesurés</t>
  </si>
  <si>
    <t>Schémas d'intégration complets, rapports de monitoring des flux, historique de latence</t>
  </si>
  <si>
    <t>Absence d'optimisation dynamique des flux, gestion manuelle des incidents d'intégration</t>
  </si>
  <si>
    <t>Cible pour sites à forte dépendance d'intégration systèmes.</t>
  </si>
  <si>
    <t>Architecture d'intégration auto-adaptative. Gestion dynamique des protocoles. Intégration temps réel avec systèmes cloud et edge. Les données circulent sans latence perceptible pour l'opérateur.</t>
  </si>
  <si>
    <t>Architecture data fabric, intégration temps réel multisite, protocoles auto-adaptés</t>
  </si>
  <si>
    <t>Échanges temps réel multisite, intégration cloud/edge opérationnelle, zéro point de rupture de flux</t>
  </si>
  <si>
    <t>SLA d'intégration ≥ 99,9 %, latence &lt; 100 ms sur échanges critiques, aucune perte de données</t>
  </si>
  <si>
    <t>Rapports SLA intégration, monitoring temps réel des flux, historique performances</t>
  </si>
  <si>
    <t>Cible pour programmes d'intégration avancée multisite.</t>
  </si>
  <si>
    <t>Procédés entièrement manuels ou pilotés localement par des relais et commandes mécaniques. Aucun automate programmable, aucun DCS.</t>
  </si>
  <si>
    <t>Opérateurs commandent directement les actionneurs</t>
  </si>
  <si>
    <t>Aucun automate ni DCS identifié</t>
  </si>
  <si>
    <t>Relevé terrain</t>
  </si>
  <si>
    <t>Absence de tout automate</t>
  </si>
  <si>
    <t>Non recommandé.</t>
  </si>
  <si>
    <t>Chapitre 4 JESA ; Réquisition Beni Amir DCS</t>
  </si>
  <si>
    <t>Des automates (PLC) isolés contrôlent certaines fonctions locales. Pas de DCS centralisé. Le contrôle de production est largement manuel.</t>
  </si>
  <si>
    <t>PLC locaux sur ≥ 1 équipement</t>
  </si>
  <si>
    <t>PLC par machine, contrôle local, aucune coordination centrale</t>
  </si>
  <si>
    <t>Au moins un PLC opérationnel documenté</t>
  </si>
  <si>
    <t>Fiches PLC, plans électriques</t>
  </si>
  <si>
    <t>Absence de DCS ou coordination inter-PLC</t>
  </si>
  <si>
    <t>Applicable en phase initiale.</t>
  </si>
  <si>
    <t>Un DCS ou un réseau d'automates coordonnés couvre les fonctions de contrôle principales. Les boucles critiques sont automatisées. La programmation est documentée.</t>
  </si>
  <si>
    <t>DCS ou réseau PLC coordonné sur ≥ 60 % des boucles</t>
  </si>
  <si>
    <t>DCS opérationnel, boucles critiques automatisées, salle de contrôle active</t>
  </si>
  <si>
    <t>DCS couvrant ≥ 60 % des boucles critiques, documentation des paramètres de contrôle</t>
  </si>
  <si>
    <t>Documentation DCS, liste des boucles, rapports de performance contrôle</t>
  </si>
  <si>
    <t>MES absent, ordonnancement manuel, couverture partielle du procédé</t>
  </si>
  <si>
    <t>Cible minimale pour sites de procédés continus.</t>
  </si>
  <si>
    <t>DCS couvrant l'ensemble du procédé. Paramètres de contrôle documentés et accessibles. MES déployé pour le suivi de production. Ordonnancement partiellement automatisé.</t>
  </si>
  <si>
    <t>DCS couvrant ≥ 90 % du procédé, MES déployé, traçabilité production</t>
  </si>
  <si>
    <t>DCS global, MES interfacé, rapports production automatisés</t>
  </si>
  <si>
    <t>DCS sur ≥ 90 % des boucles, MES opérationnel, traçabilité lots active</t>
  </si>
  <si>
    <t>Rapport DCS, interface MES/DCS, rapports production automatisés</t>
  </si>
  <si>
    <t>Optimisation des paramètres toujours manuelle, absence d'APC</t>
  </si>
  <si>
    <t>Cible recommandée pour la majorité des sites.</t>
  </si>
  <si>
    <t>Contrôle avancé des procédés (APC) déployé sur les fonctions clés. Optimisation automatique des paramètres. MES pleinement intégré avec ordonnancement automatique.</t>
  </si>
  <si>
    <t>APC actif, optimisation automatique, MES intégré avec ordonnancement auto</t>
  </si>
  <si>
    <t>APC opérationnel, gain de performance mesuré, ordonnancement MES automatique</t>
  </si>
  <si>
    <t>APC déployé et validé sur ≥ 1 unité critique, gain documenté, MES avec ordonnancement auto</t>
  </si>
  <si>
    <t>Documentation APC, rapports de gain, KPI production améliorés</t>
  </si>
  <si>
    <t>IA prédictive non encore intégrée dans la boucle de contrôle</t>
  </si>
  <si>
    <t>Cible pour sites avec enjeux de performance procédé élevés.</t>
  </si>
  <si>
    <t>Contrôle adaptatif en temps réel. Jumeaux numériques du procédé opérationnels. La boucle DCS/APC/IA fonctionne de manière autonome avec supervision humaine minimale.</t>
  </si>
  <si>
    <t>Jumeaux numériques du procédé, contrôle adaptatif autonome, IA dans la boucle</t>
  </si>
  <si>
    <t>Simulation procédé en temps réel, optimisation continue autonome</t>
  </si>
  <si>
    <t>Jumeau numérique validé, IA dans boucle de contrôle, performance procédé optimisée en continu</t>
  </si>
  <si>
    <t>Rapport validation jumeau numérique, KPI contrôle, historique performances</t>
  </si>
  <si>
    <t>Cible pour programmes d'excellence procédé.</t>
  </si>
  <si>
    <t>Aucun système SCADA ni HMI. Les opérateurs supervisent les procédés par observation directe sur le terrain.</t>
  </si>
  <si>
    <t>Ronde terrain, supervision visuelle directe</t>
  </si>
  <si>
    <t>Absence de SCADA/HMI documentée</t>
  </si>
  <si>
    <t>Absence de tout système de supervision</t>
  </si>
  <si>
    <t>Des afficheurs ou IHM locales sont en place sur certains équipements. Pas de supervision centralisée. Les données procédé ne sont pas historisées.</t>
  </si>
  <si>
    <t>HMI locales sur ≥ 1 équipement</t>
  </si>
  <si>
    <t>Afficheurs locaux, IHM par machine, opérateurs en salle sans vue globale</t>
  </si>
  <si>
    <t>Au moins une IHM opérationnelle</t>
  </si>
  <si>
    <t>Fiches équipements, inventaire IHM</t>
  </si>
  <si>
    <t>Absence de SCADA centralisé, données non historisées</t>
  </si>
  <si>
    <t>Phase initiale uniquement.</t>
  </si>
  <si>
    <t>SCADA déployé sur une partie des procédés. La salle de contrôle reçoit des données en temps réel depuis les équipements connectés. Premières alarmes configurées.</t>
  </si>
  <si>
    <t>SCADA partiel, données temps réel depuis ≥ 50 % des équipements</t>
  </si>
  <si>
    <t>SCADA opérationnel sur unités principales, alarmes configurées</t>
  </si>
  <si>
    <t>SCADA couvrant ≥ 50 % des équipements, alarmes de base configurées</t>
  </si>
  <si>
    <t>Documentation SCADA, liste des alarmes, captures écran synoptiques</t>
  </si>
  <si>
    <t>Couverture partielle, maintenance prédictive absente, données non historisées</t>
  </si>
  <si>
    <t>Cible minimale acceptable.</t>
  </si>
  <si>
    <t>SCADA couvrant l'ensemble du procédé. HMI standardisées selon bonnes pratiques (ISA-101 ou équivalent). Données accessibles en temps réel. Système d'alarmes géré avec prioritisation.</t>
  </si>
  <si>
    <t>SCADA global, HMI standardisées, gestion des alarmes, données temps réel complètes</t>
  </si>
  <si>
    <t>SCADA complet, tableau de bord salle de contrôle, alarmes priorisées, rationalisées</t>
  </si>
  <si>
    <t>SCADA sur ≥ 90 % du procédé, gestion des alarmes documentée, HMI standardisées</t>
  </si>
  <si>
    <t>Documentation SCADA complète, procédure gestion alarmes, KPI alarmes (taux nuisances &lt; 10 %)</t>
  </si>
  <si>
    <t>Maintenance toujours corrective, capteurs de condition non déployés</t>
  </si>
  <si>
    <t>Cible recommandée standard.</t>
  </si>
  <si>
    <t>Capteurs de condition déployés sur équipements critiques. Système de maintenance conditionnelle actif. CBMS/ALMS opérationnels. Premiers algorithmes prédictifs en production.</t>
  </si>
  <si>
    <t>Capteurs condition sur ≥ 50 % équipements critiques, CBMS opérationnel, alertes maintenance automatiques</t>
  </si>
  <si>
    <t>CBMS actif, alertes prédictives générées, maintenance planifiée sur données</t>
  </si>
  <si>
    <t>Capteurs condition déployés, CBMS opérationnel, ≥ 1 algorithme prédictif validé</t>
  </si>
  <si>
    <t>Rapports CBMS, historique alertes, documentation algorithmes prédictifs</t>
  </si>
  <si>
    <t>Maintenance prédictive en déploiement partiel, modèles non optimisés</t>
  </si>
  <si>
    <t>Cible pour sites à équipements critiques coûteux.</t>
  </si>
  <si>
    <t>Maintenance prédictive couvrant l'ensemble des équipements critiques. Planification automatique des interventions. Zéro arrêt non planifié sur les équipements à haute criticité.</t>
  </si>
  <si>
    <t>Maintenance prédictive totale, planification auto des interventions, zéro arrêt non planifié</t>
  </si>
  <si>
    <t>Aucun arrêt non planifié sur équipements critiques sur 12 mois, MTBF en amélioration continue</t>
  </si>
  <si>
    <t>Maintenance prédictive sur 100 % équipements critiques, MTBF amélioré ≥ 20 % vs baseline</t>
  </si>
  <si>
    <t>Historique MTBF, rapports maintenances évitées, économies documentées</t>
  </si>
  <si>
    <t>Cible pour sites à très haute criticité.</t>
  </si>
  <si>
    <t>Aucune historisation des données de procédé. Les données opérationnelles ne sont pas conservées numériquement. La traçabilité repose uniquement sur des cahiers de quart papier.</t>
  </si>
  <si>
    <t>Cahiers papier, aucune trace numérique</t>
  </si>
  <si>
    <t>Absence de tout système de stockage de données procédé</t>
  </si>
  <si>
    <t>Absence d'historisation</t>
  </si>
  <si>
    <t>Des données sont collectées ponctuellement (exports manuels, fichiers Excel). Pas d'historian industriel. La rétention est limitée et non fiable.</t>
  </si>
  <si>
    <t>Collecte manuelle dans Excel ou équivalent</t>
  </si>
  <si>
    <t>Fichiers Excel par quart, exports manuels sporadiques</t>
  </si>
  <si>
    <t>Au moins un fichier de collecte de données en service</t>
  </si>
  <si>
    <t>Fichiers de collecte, entretiens opérateurs</t>
  </si>
  <si>
    <t>Absence d'historian, données non fiables, rétention &lt; 30 jours</t>
  </si>
  <si>
    <t>Phase initiale.</t>
  </si>
  <si>
    <t>Un historian industriel est déployé et collecte des données depuis les équipements connectés. La rétention est assurée sur ≥ 6 mois. Les données sont horodatées.</t>
  </si>
  <si>
    <t>Historian opérationnel, rétention ≥ 6 mois, données horodatées</t>
  </si>
  <si>
    <t>Historian actif, données accessible depuis la salle de contrôle</t>
  </si>
  <si>
    <t>Historian opérationnel, ≥ 6 mois de rétention, horodatage fiable</t>
  </si>
  <si>
    <t>Documentation historian, paramètre de rétention configuré, test de fiabilité</t>
  </si>
  <si>
    <t>Qualité des données non gérée, gouvernance absente, rétention insuffisante</t>
  </si>
  <si>
    <t>Historian couvrant l'ensemble du procédé avec rétention ≥ 12 mois. Les données sont accessibles en temps réel et historiquement. Une politique de qualité des données est définie.</t>
  </si>
  <si>
    <t>Historian complet, rétention ≥ 12 mois, politique qualité données définie</t>
  </si>
  <si>
    <t>Historian global, données accessibles depuis tout poste autorisé, politique qualité formalisée</t>
  </si>
  <si>
    <t>Historian sur ≥ 90 % des points de mesure critiques, rétention ≥ 12 mois, politique qualité approuvée</t>
  </si>
  <si>
    <t>Documentation historian, politique qualité données, rapport d'audit qualité données</t>
  </si>
  <si>
    <t>Gouvernance des données non opérationnelle, rôles non définis</t>
  </si>
  <si>
    <t>Gouvernance des données formalisée avec rôles et responsabilités définis. Référentiel de données actif. Qualité des données mesurée automatiquement. Données utilisées pour les décisions opérationnelles.</t>
  </si>
  <si>
    <t>Gouvernance active, référentiel données, qualité mesurée automatiquement, données pour décisions</t>
  </si>
  <si>
    <t>Data steward identifié, référentiel actif, KPI qualité données affichés</t>
  </si>
  <si>
    <t>Politique gouvernance données approuvée, référentiel actif, KPI qualité ≥ 95 % données valides</t>
  </si>
  <si>
    <t>Politique gouvernance, référentiel données, rapports qualité automatiques</t>
  </si>
  <si>
    <t>Valorisation analytique avancée non déployée</t>
  </si>
  <si>
    <t>Cible pour sites à forte dépendance données.</t>
  </si>
  <si>
    <t>Architecture de données industrielles complète (data lake ou équivalent). Qualité des données garantie en temps réel par des mécanismes automatiques. Les données alimentent l'IA et la prise de décision.</t>
  </si>
  <si>
    <t>Data lake industriel, qualité temps réel garantie, données alimentant IA et décision</t>
  </si>
  <si>
    <t>Data lake opérationnel, IA alimentée par données historian, aucune décision sans données</t>
  </si>
  <si>
    <t>Data lake actif, qualité ≥ 99 % données valides, IA alimentée en temps réel</t>
  </si>
  <si>
    <t>Architecture data lake, rapports qualité temps réel, modèles IA en production</t>
  </si>
  <si>
    <t>Cible pour sites avancés en maturité data.</t>
  </si>
  <si>
    <t>Aucune analyse des données industrielles. Les décisions opérationnelles sont basées exclusivement sur l'expérience et l'intuition des opérateurs.</t>
  </si>
  <si>
    <t>Décisions basées sur l'expérience uniquement</t>
  </si>
  <si>
    <t>Absence de tout outil d'analyse</t>
  </si>
  <si>
    <t>Entretiens</t>
  </si>
  <si>
    <t>Absence d'analytique</t>
  </si>
  <si>
    <t>Des rapports manuels (Excel, Word) sont produits ponctuellement. Pas d'automatisation. L'analyse reste descriptive et rétrospective.</t>
  </si>
  <si>
    <t>Rapports manuels produits régulièrement</t>
  </si>
  <si>
    <t>Rapports Excel mensuels, analyses ad hoc</t>
  </si>
  <si>
    <t>Au moins un rapport opérationnel produit régulièrement</t>
  </si>
  <si>
    <t>Exemples de rapports</t>
  </si>
  <si>
    <t>Rapports manuels, latence élevée, analyse non systématique</t>
  </si>
  <si>
    <t>Des tableaux de bord automatisés sont disponibles pour certains KPI. Les rapports sont produits régulièrement avec des données extraites de l'historian.</t>
  </si>
  <si>
    <t>Tableaux de bord KPI automatisés, rapports périodiques</t>
  </si>
  <si>
    <t>Tableaux de bord SCADA ou BI, KPI affichés en salle de contrôle</t>
  </si>
  <si>
    <t>Au moins 5 KPI critiques affichés en temps réel</t>
  </si>
  <si>
    <t>Captures tableaux de bord, liste des KPI</t>
  </si>
  <si>
    <t>Analyse des causes racines manuelle, pas d'analyse prédictive</t>
  </si>
  <si>
    <t>Cible minimale.</t>
  </si>
  <si>
    <t>Rapports automatisés couvrant l'ensemble des KPI opérationnels. Analyse des causes racines outillée. Données accessibles aux équipes de gestion. Benchmarks internes disponibles.</t>
  </si>
  <si>
    <t>Rapports KPI complets automatisés, analyse causes racines outillée</t>
  </si>
  <si>
    <t>Plateforme BI opérationnelle, analyses causes racines structurées, KPI de gestion</t>
  </si>
  <si>
    <t>Plateforme BI active, ≥ 20 KPI opérationnels automatisés, analyse causes racines documentée</t>
  </si>
  <si>
    <t>Plateforme BI, liste des KPI, rapports d'analyse causes racines</t>
  </si>
  <si>
    <t>IA prédictive non encore déployée</t>
  </si>
  <si>
    <t>Cible recommandée.</t>
  </si>
  <si>
    <t>Modèles d'analyse avancée (statistique, ML) déployés sur données historiques. Premiers modèles prédictifs actifs pour la maintenance ou la qualité. Pipeline de données vers les modèles opérationnel.</t>
  </si>
  <si>
    <t>Modèles ML actifs, pipeline données-modèles, prédictions en production</t>
  </si>
  <si>
    <t>Au moins 1 modèle ML validé en production, prédictions utilisées par opérateurs</t>
  </si>
  <si>
    <t>≥ 1 modèle prédictif validé et opérationnel, pipeline de données documenté</t>
  </si>
  <si>
    <t>Documentation modèle, rapports de performance ML, preuve d'utilisation par opérateurs</t>
  </si>
  <si>
    <t>Modèles généralisés à l'ensemble des procédés, IA prescriptive non déployée</t>
  </si>
  <si>
    <t>Cible pour sites pilotes IA.</t>
  </si>
  <si>
    <t>IA prescriptive opérationnelle. Les systèmes proposent ou exécutent automatiquement des actions d'optimisation. Les modèles sont maintenus, ré-entraînés et améliorés en continu.</t>
  </si>
  <si>
    <t>IA prescriptive en production, auto-optimisation, modèles en amélioration continue</t>
  </si>
  <si>
    <t>IA propose des actions validées automatiquement, gain documenté, modèles ré-entraînés</t>
  </si>
  <si>
    <t>≥ 2 modèles prescriptifs en production, gain documenté ≥ 5 % sur KPI cible, pipeline MLOps actif</t>
  </si>
  <si>
    <t>Rapports MLOps, historique gains IA, documentation pipeline ré-entraînement</t>
  </si>
  <si>
    <t>Cible pour sites leaders en IA industrielle.</t>
  </si>
  <si>
    <t>Aucune mesure de cybersécurité OT en place. Réseaux OT et IT non segmentés. Aucune politique de sécurité. Accès non contrôlés.</t>
  </si>
  <si>
    <t>Réseaux OT/IT fusionnés, accès non tracés</t>
  </si>
  <si>
    <t>Aucune mesure de segmentation, aucune politique</t>
  </si>
  <si>
    <t>Relevé réseau</t>
  </si>
  <si>
    <t>Absence totale de cybersécurité</t>
  </si>
  <si>
    <t>Des mesures de sécurité IT basiques sont appliquées (antivirus, mots de passe). Pas de segmentation OT/IT. Pas de politique formalisée spécifique aux OT.</t>
  </si>
  <si>
    <t>Antivirus IT, mots de passe basiques</t>
  </si>
  <si>
    <t>Antivirus sur postes IT, aucune règle spécifique OT</t>
  </si>
  <si>
    <t>Au moins antivirus déployé sur postes IT</t>
  </si>
  <si>
    <t>Documentation antivirus</t>
  </si>
  <si>
    <t>Absence de segmentation OT/IT, accès physiques non contrôlés</t>
  </si>
  <si>
    <t>Segmentation réseau OT/IT réalisée. Firewall entre L2 et L3 opérationnel. Premières politiques de sécurité OT formalisées. Gestion des accès physiques aux salles de contrôle.</t>
  </si>
  <si>
    <t>Firewall L2/L3, segmentation OT/IT, politique sécurité OT de base</t>
  </si>
  <si>
    <t>Firewall entre OT et IT actif, salle de contrôle à accès restreint</t>
  </si>
  <si>
    <t>Firewall L2/L3 documenté et actif, politique sécurité OT approuvée</t>
  </si>
  <si>
    <t>Règles firewall, politique sécurité OT, journal des accès</t>
  </si>
  <si>
    <t>DMZ L3.5 absente, gestion des identités OT non formalisée</t>
  </si>
  <si>
    <t>Cible minimale obligatoire.</t>
  </si>
  <si>
    <t>Architecture de sécurité OT complète (DMZ L3.5 opérationnelle). Monitoring des événements de sécurité actif. Gestion des identités OT (AD OT) en place. Gestion des patches OT documentée.</t>
  </si>
  <si>
    <t>DMZ L3.5, AD OT, monitoring sécurité, patch management OT</t>
  </si>
  <si>
    <t>DMZ active, AD OT déployé, NMS avec alertes sécurité</t>
  </si>
  <si>
    <t>DMZ L3.5 opérationnelle, AD OT actif, patch management documenté</t>
  </si>
  <si>
    <t>Architecture DMZ, AD OT, logs sécurité, plan patch management</t>
  </si>
  <si>
    <t>SOC OT non intégré, détection d'incidents non automatisée</t>
  </si>
  <si>
    <t>SOC OT intégré ou externalisé. Détection des incidents automatisée (IDS/IPS OT). Tests de pénétration réalisés régulièrement. Plan de réponse aux incidents formalisé et testé.</t>
  </si>
  <si>
    <t>SOC OT, IDS/IPS OT, tests pentest réguliers, plan réponse incidents testé</t>
  </si>
  <si>
    <t>SOC OT actif, alertes automatiques incidents, exercice de crise réalisé</t>
  </si>
  <si>
    <t>SOC OT actif, ≥ 1 pentest OT réalisé dans l'année, plan IR testé</t>
  </si>
  <si>
    <t>Rapports SOC, rapport pentest, compte-rendu exercice de crise</t>
  </si>
  <si>
    <t>Absence d'approche prédictive des risques cyber</t>
  </si>
  <si>
    <t>Cible pour sites à haute criticité.</t>
  </si>
  <si>
    <t>Cybersécurité OT proactive. Threat intelligence intégrée. Modélisation des risques en continu. Zéro incident cyber non détecté. Conformité maintenue en permanence.</t>
  </si>
  <si>
    <t>Threat intelligence, modélisation risques continu, zéro incident non détecté</t>
  </si>
  <si>
    <t>Threat intelligence OT active, conformité IEC 62443 documentée, zéro brèche non détectée</t>
  </si>
  <si>
    <t>Conformité IEC 62443 ou équivalent documentée, threat intelligence active, MTTR &lt; 1h</t>
  </si>
  <si>
    <t>Rapports conformité, threat intelligence, MTTR documenté</t>
  </si>
  <si>
    <t>Cible pour sites à très haute criticité ou régulés.</t>
  </si>
  <si>
    <t>Aucune politique digitale. Aucune gouvernance. Les projets digitaux sont menés sans cadre ni responsabilité clairement définis.</t>
  </si>
  <si>
    <t>Projets digitaux ad hoc sans gouvernance</t>
  </si>
  <si>
    <t>Absence de toute politique digitale formalisée</t>
  </si>
  <si>
    <t>Entretiens management</t>
  </si>
  <si>
    <t>Absence de gouvernance</t>
  </si>
  <si>
    <t>Des projets digitaux existent mais sans politique formelle. Responsabilités digitales non définies. Absence de processus de changement documenté.</t>
  </si>
  <si>
    <t>Projets digitaux existants sans gouvernance formelle</t>
  </si>
  <si>
    <t>Quelques projets digitaux en cours, aucun responsable digital identifié</t>
  </si>
  <si>
    <t>Au moins un projet digital en cours</t>
  </si>
  <si>
    <t>Projets identifiés</t>
  </si>
  <si>
    <t>Absence de politique, responsabilités non définies</t>
  </si>
  <si>
    <t>Une politique digitale de base est formalisée et approuvée. Des responsabilités digitales sont définies. Les projets sont suivis dans un registre.</t>
  </si>
  <si>
    <t>Politique digitale approuvée, responsabilités définies, registre projets</t>
  </si>
  <si>
    <t>Politique digitale validée par la direction, registre des projets actif</t>
  </si>
  <si>
    <t>Politique digitale approuvée par direction, ≥ 1 responsable digital désigné</t>
  </si>
  <si>
    <t>Politique digitale, organigramme, registre projets</t>
  </si>
  <si>
    <t>Conformité non auditée, processus d'audit absents</t>
  </si>
  <si>
    <t>Gouvernance digitale structurée. Comité de pilotage digital actif. KPI de gouvernance définis et reportés. Processus de gestion du changement documentés et appliqués.</t>
  </si>
  <si>
    <t>Comité pilotage, KPI gouvernance, gestion changement</t>
  </si>
  <si>
    <t>Comité digital mensuel, KPI gouvernance affichés, gestion du changement appliquée</t>
  </si>
  <si>
    <t>Comité digital actif, ≥ 5 KPI gouvernance, procédure changement documentée</t>
  </si>
  <si>
    <t>PV comités, tableau de bord gouvernance, procédures changement</t>
  </si>
  <si>
    <t>Audits formels non réalisés, conformité non mesurée</t>
  </si>
  <si>
    <t>Audits digitaux planifiés et réalisés. Non-conformités tracées et résolues. Politique digitale révisée annuellement. Conformité réglementaire documentée.</t>
  </si>
  <si>
    <t>Audits OT/IT planifiés, non-conformités tracées, conformité réglementaire</t>
  </si>
  <si>
    <t>Plan d'audit annuel exécuté, non-conformités résolues dans les délais</t>
  </si>
  <si>
    <t>Plan d'audit approuvé, ≥ 1 audit réalisé dans l'année, non-conformités tracées</t>
  </si>
  <si>
    <t>Plans d'audit, rapports d'audit, suivi non-conformités</t>
  </si>
  <si>
    <t>Maturité digitale non mesurée périodiquement</t>
  </si>
  <si>
    <t>Cible pour sites avec obligations réglementaires.</t>
  </si>
  <si>
    <t>Gouvernance digitale en amélioration continue. Maturité digitale mesurée périodiquement. Alignement stratégique entre transformation digitale et performance opérationnelle démontré.</t>
  </si>
  <si>
    <t>Maturité digitale mesurée périodiquement, alignement stratégie-digital</t>
  </si>
  <si>
    <t>Évaluation maturité digitale annuelle, feuille de route mise à jour, ROI documenté</t>
  </si>
  <si>
    <t>Évaluation maturité périodique, feuille de route active, ROI digital documenté</t>
  </si>
  <si>
    <t>Rapports évaluation maturité, feuille de route, ROI</t>
  </si>
  <si>
    <t>Cible pour sites leaders.</t>
  </si>
  <si>
    <t>Aucune compétence digitale identifiée dans les équipes. Les outils numériques présents ne sont pas maîtrisés. Aucune formation digitale n'a jamais été réalisée.</t>
  </si>
  <si>
    <t>Équipes utilisant uniquement des méthodes manuelles</t>
  </si>
  <si>
    <t>Aucune formation digitale réalisée, aucune compétence digitale identifiée</t>
  </si>
  <si>
    <t>Absence de compétences digitales</t>
  </si>
  <si>
    <t>Quelques individus ont des compétences digitales basiques. Des formations ponctuelles ont été réalisées. Pas de plan de formation structuré.</t>
  </si>
  <si>
    <t>Quelques individus formés aux outils de base</t>
  </si>
  <si>
    <t>Formations ad hoc, quelques utilisateurs avancés isolés</t>
  </si>
  <si>
    <t>Au moins 1 formation digitale réalisée dans l'année</t>
  </si>
  <si>
    <t>Attestations de formation</t>
  </si>
  <si>
    <t>Cartographie compétences absente, plan formation non formalisé</t>
  </si>
  <si>
    <t>Une cartographie des compétences digitales est réalisée. Les gaps sont identifiés. Des formations sont planifiées pour combler les besoins critiques.</t>
  </si>
  <si>
    <t>Cartographie compétences réalisée, gaps identifiés, formations planifiées</t>
  </si>
  <si>
    <t>Matrice de compétences disponible, plan de formation validé</t>
  </si>
  <si>
    <t>Cartographie compétences réalisée, ≥ 1 formation planifiée par gap critique</t>
  </si>
  <si>
    <t>Matrice compétences, plan de formation</t>
  </si>
  <si>
    <t>Formation non exécutée à temps, compétences pas encore évaluées après formation</t>
  </si>
  <si>
    <t>Plan de formation digitale formalisé et exécuté. Résultats des formations mesurés. Budget dédié à la formation digitale alloué. Compétences évaluées annuellement.</t>
  </si>
  <si>
    <t>Plan formation exécuté, résultats mesurés, budget dédié</t>
  </si>
  <si>
    <t>Plan de formation annuel exécuté à ≥ 80 %, évaluations post-formation</t>
  </si>
  <si>
    <t>Plan formation approuvé, budget alloué, évaluations post-formation réalisées</t>
  </si>
  <si>
    <t>Plan formation, feuilles de présence, résultats évaluations</t>
  </si>
  <si>
    <t>Certifications digitales non encore obtenues, formation continue non structurée</t>
  </si>
  <si>
    <t>Programme de certification digitale actif. Compétences digitales intégrées dans les fiches de poste. Formation continue sur les nouvelles technologies planifiée.</t>
  </si>
  <si>
    <t>Certifications digitales, fiches de poste actualisées, formation continue</t>
  </si>
  <si>
    <t>Au moins 30 % du personnel certifié sur un outil ou standard digital</t>
  </si>
  <si>
    <t>Certifications digitales obtenues, fiches de poste actualisées, plan formation continue</t>
  </si>
  <si>
    <t>Certificats, fiches de poste actualisées, plan formation continue</t>
  </si>
  <si>
    <t>Culture d'innovation et partage des savoirs non structurés</t>
  </si>
  <si>
    <t>Cible pour sites en transformation avancée.</t>
  </si>
  <si>
    <t>Communauté de pratiques digitales active. Partage des savoirs structuré. Toutes les fonctions clés ont des compétences digitales avancées. Le site forme ses propres formateurs.</t>
  </si>
  <si>
    <t>Communauté de pratiques, formateurs internes, compétences avancées universelles</t>
  </si>
  <si>
    <t>Formateurs internes certifiés, communauté de pratiques active, transfert de savoirs</t>
  </si>
  <si>
    <t>Formateurs internes identifiés, communauté de pratiques avec ≥ 12 réunions/an</t>
  </si>
  <si>
    <t>Comptes-rendus communauté de pratiques, certifications formateurs</t>
  </si>
  <si>
    <t>Cible pour sites d'excellence RH.</t>
  </si>
  <si>
    <t>Aucune culture digitale. Les équipes sont réticentes ou ignorantes des outils numériques. Aucun projet d'innovation numérique.</t>
  </si>
  <si>
    <t>Résistance au changement active, aucun projet digital</t>
  </si>
  <si>
    <t>Absence de culture digitale documentée</t>
  </si>
  <si>
    <t>Aucune culture digitale</t>
  </si>
  <si>
    <t>Chapitre 4 JESA ; Mining 5.0 Connected Worker</t>
  </si>
  <si>
    <t>Quelques individus utilisent des outils numériques de leur propre initiative. Pas d'organisation structurée autour du digital. L'innovation est informelle et non capitalisée.</t>
  </si>
  <si>
    <t>Quelques utilisateurs avancés</t>
  </si>
  <si>
    <t>Initiatives individuelles, pas de processus d'innovation</t>
  </si>
  <si>
    <t>Au moins 1 initiative digitale spontanée</t>
  </si>
  <si>
    <t>Témoignages, entretiens</t>
  </si>
  <si>
    <t>Absence de cadre d'adoption et d'innovation</t>
  </si>
  <si>
    <t>Les outils numériques déployés sont utilisés par ≥ 50 % des équipes concernées. Des résistances persistent mais le changement est encadré. Un référent digital est identifié.</t>
  </si>
  <si>
    <t>Adoption ≥ 50 % outils déployés, référent digital identifié</t>
  </si>
  <si>
    <t>Référent digital actif, taux d'adoption mesuré</t>
  </si>
  <si>
    <t>Taux d'adoption mesuré ≥ 50 %, référent digital identifié</t>
  </si>
  <si>
    <t>Mesures adoption, fiche de poste référent digital</t>
  </si>
  <si>
    <t>Innovation non structurée, retours d'expérience non capitalisés</t>
  </si>
  <si>
    <t>Taux d'adoption ≥ 80 % des outils déployés. Processus de retour d'expérience actif. Des idées d'amélioration digitale sont recueillies et traitées.</t>
  </si>
  <si>
    <t>Adoption ≥ 80 %, REX actif, idées d'amélioration traitées</t>
  </si>
  <si>
    <t>Tableau de bord adoption, boîte à idées digitale active, REX documentés</t>
  </si>
  <si>
    <t>Adoption ≥ 80 % mesurée, processus REX documenté, idées traitées dans délai défini</t>
  </si>
  <si>
    <t>Mesures adoption, rapports REX, registre idées</t>
  </si>
  <si>
    <t>Innovation digitale non structurée, absence de processus d'expérimentation</t>
  </si>
  <si>
    <t>Démarche d'amélioration continue digitale formalisée. Des expérimentations sont planifiées et documentées. Les succès sont communiqués et répliqués.</t>
  </si>
  <si>
    <t>Amélioration continue digitale, expérimentations planifiées, succès répliqués</t>
  </si>
  <si>
    <t>POC digitaux planifiés, ≥ 2 succès répliqués dans l'année</t>
  </si>
  <si>
    <t>≥ 2 POC digitaux réalisés, succès documentés et répliqués</t>
  </si>
  <si>
    <t>Fiches POC, rapports de déploiement, communications internes</t>
  </si>
  <si>
    <t>Ecosystème d'innovation externe non exploité</t>
  </si>
  <si>
    <t>Culture d'innovation digitale pleinement ancrée. Collaboration avec startups, universités ou écosystèmes digitaux externes. Le site est reconnu comme référence en transformation digitale.</t>
  </si>
  <si>
    <t>Innovation ouverte, collaborations externes, site référence digitale</t>
  </si>
  <si>
    <t>Partenariats actifs avec écosystème digital, visites de pairs, ≥ 1 prix ou reconnaissance</t>
  </si>
  <si>
    <t>≥ 1 partenariat externe d'innovation actif, site visité par pairs</t>
  </si>
  <si>
    <t>Conventions de partenariat, compte-rendus visites pairs</t>
  </si>
  <si>
    <t>TARGET_LEVELS — Niveaux cibles par dimension (saisie évaluateur)</t>
  </si>
  <si>
    <t>Target_Level_Default</t>
  </si>
  <si>
    <t>Target_Level_User</t>
  </si>
  <si>
    <t>Effective_Target_Level</t>
  </si>
  <si>
    <t>Target_Level_Description</t>
  </si>
  <si>
    <t>Validation_Status</t>
  </si>
  <si>
    <t>Réseau OT complet documenté, virtualisation déployée, disponibilité mesurée.</t>
  </si>
  <si>
    <t>OPC UA déployé, intégration L2-L3 active, serveur interopérabilité opérationnel.</t>
  </si>
  <si>
    <t>DCS couvrant ≥ 90 % procédé, MES déployé, traçabilité production active.</t>
  </si>
  <si>
    <t>SCADA global, HMI standardisées, gestion alarmes documentée.</t>
  </si>
  <si>
    <t>Historian complet ≥ 12 mois, politique qualité données approuvée.</t>
  </si>
  <si>
    <t>Plateforme BI active, ≥ 20 KPI automatisés, analyses causes racines.</t>
  </si>
  <si>
    <t>DMZ L3.5, AD OT, monitoring sécurité, patch management.</t>
  </si>
  <si>
    <t>Comité digital actif, KPI gouvernance, gestion du changement appliquée.</t>
  </si>
  <si>
    <t>Plan formation exécuté, budget dédié, évaluations post-formation.</t>
  </si>
  <si>
    <t>Adoption ≥ 80 %, REX actif, idées d'amélioration traitées.</t>
  </si>
  <si>
    <t>WEIGHTS_CONFIGURATION — Configuration des pondérations</t>
  </si>
  <si>
    <t>Hierarchy_Level</t>
  </si>
  <si>
    <t>Parent_ID</t>
  </si>
  <si>
    <t>Component_ID</t>
  </si>
  <si>
    <t>Component_Name</t>
  </si>
  <si>
    <t>Default_Weight</t>
  </si>
  <si>
    <t>User_Defined_Weight</t>
  </si>
  <si>
    <t>Effective_Weight</t>
  </si>
  <si>
    <t>Weight_Source</t>
  </si>
  <si>
    <t>Justification</t>
  </si>
  <si>
    <t>Pilier</t>
  </si>
  <si>
    <t>DMI</t>
  </si>
  <si>
    <t>Défaut</t>
  </si>
  <si>
    <t>Pondération égale entre les 5 piliers. Configurable si contexte justifié.</t>
  </si>
  <si>
    <t>Dimension</t>
  </si>
  <si>
    <t>Pondération égale entre les 2 dimensions du pilier. Configurable.</t>
  </si>
  <si>
    <t>Sous-dimension</t>
  </si>
  <si>
    <t>Pondération égale entre les 2 sous-dimensions de la dimension. Configurable.</t>
  </si>
  <si>
    <t>MES &amp; Ordonnancement</t>
  </si>
  <si>
    <t>SCADA &amp; HMI</t>
  </si>
  <si>
    <t>IA &amp; Modélisation</t>
  </si>
  <si>
    <t>⚠ RÈGLE CRITIQUE : La somme des poids effectifs des enfants d'un même parent doit toujours être égale à 1. Vérifier dans QUALITY_CONTROL. Tout écart aux poids par défaut doit être justifié dans la colonne Justification.</t>
  </si>
  <si>
    <t>INDICATORS — 60 indicateurs d'évaluation (3 par sous-dimension)</t>
  </si>
  <si>
    <t>Indicator_ID</t>
  </si>
  <si>
    <t>Indicator_Name</t>
  </si>
  <si>
    <t>Indicator_Objective</t>
  </si>
  <si>
    <t>Assessment_Question</t>
  </si>
  <si>
    <t>Indicator_Type</t>
  </si>
  <si>
    <t>Measurement_Mode</t>
  </si>
  <si>
    <t>Expected_Respondent</t>
  </si>
  <si>
    <t>Assessment_Perimeter</t>
  </si>
  <si>
    <t>Applicability_Condition</t>
  </si>
  <si>
    <t>Required_Evidence_Category</t>
  </si>
  <si>
    <t>Gap_Trigger_Code</t>
  </si>
  <si>
    <t>Assumptions</t>
  </si>
  <si>
    <t>I-D1-01</t>
  </si>
  <si>
    <t>Couverture réseau OT</t>
  </si>
  <si>
    <t>Évaluer le pourcentage des équipements de terrain connectés au réseau industriel OT</t>
  </si>
  <si>
    <t>Quel est le pourcentage des équipements de terrain (automates, capteurs, actionneurs) connectés à un réseau industriel OT structuré ?</t>
  </si>
  <si>
    <t>Quantitatif</t>
  </si>
  <si>
    <t>Mesure documentée</t>
  </si>
  <si>
    <t>Ingénieur instrumentation / Responsable OT</t>
  </si>
  <si>
    <t>Ensemble du site</t>
  </si>
  <si>
    <t>Aucune</t>
  </si>
  <si>
    <t>Architecture réseau, inventaire équipements</t>
  </si>
  <si>
    <t>GAP-SD1.1-COV</t>
  </si>
  <si>
    <t>Chapitre 4 JESA ; Mining 5.0 DAL</t>
  </si>
  <si>
    <t>Indicateur 100 % observable sur schémas réseau</t>
  </si>
  <si>
    <t>I-D1-02</t>
  </si>
  <si>
    <t>Redondance réseau OT</t>
  </si>
  <si>
    <t>Évaluer l'existence et la couverture de la redondance sur les chemins réseau critiques OT</t>
  </si>
  <si>
    <t>Les chemins réseau critiques OT (liens entre contrôleurs et salle de contrôle) bénéficient-ils d'une redondance documentée et testée ?</t>
  </si>
  <si>
    <t>Qualitatif</t>
  </si>
  <si>
    <t>Observation + documentation</t>
  </si>
  <si>
    <t>Ingénieur réseau OT / Responsable infrastructure</t>
  </si>
  <si>
    <t>Réseau OT critique</t>
  </si>
  <si>
    <t>Architecture réseau, tests de bascule</t>
  </si>
  <si>
    <t>GAP-SD1.1-RED</t>
  </si>
  <si>
    <t>Basé sur schémas réseau et tests documentés</t>
  </si>
  <si>
    <t>I-D1-03</t>
  </si>
  <si>
    <t>Disponibilité réseau OT mesurée</t>
  </si>
  <si>
    <t>Évaluer si la disponibilité du réseau OT est mesurée, enregistrée et comparée à un objectif défini</t>
  </si>
  <si>
    <t>La disponibilité du réseau industriel OT est-elle mesurée automatiquement et comparée à un objectif de disponibilité documenté ?</t>
  </si>
  <si>
    <t>Documentation + outil NMS</t>
  </si>
  <si>
    <t>Administrateur réseau OT</t>
  </si>
  <si>
    <t>Infrastructure réseau</t>
  </si>
  <si>
    <t>Rapports NMS, paramètres de disponibilité cible</t>
  </si>
  <si>
    <t>GAP-SD1.1-AVL</t>
  </si>
  <si>
    <t>Chapitre 4 JESA ; Mining 5.0 NMS Server</t>
  </si>
  <si>
    <t>Requiert NMS opérationnel</t>
  </si>
  <si>
    <t>I-D1-04</t>
  </si>
  <si>
    <t>Virtualisation serveurs OT</t>
  </si>
  <si>
    <t>Évaluer le niveau de déploiement de la virtualisation sur les serveurs industriels OT</t>
  </si>
  <si>
    <t>Les serveurs industriels OT (historian, SCADA, DCS serveur) sont-ils déployés sur une infrastructure virtualisée ?</t>
  </si>
  <si>
    <t>Inventaire + documentation</t>
  </si>
  <si>
    <t>Administrateur serveurs / Responsable IT-OT</t>
  </si>
  <si>
    <t>Serveurs OT</t>
  </si>
  <si>
    <t>Inventaire serveurs, configuration virtualisation</t>
  </si>
  <si>
    <t>GAP-SD1.2-VIRT</t>
  </si>
  <si>
    <t>Chapitre 4 JESA ; Mining 5.0 Plant Virtual Hosts</t>
  </si>
  <si>
    <t>Directement observable</t>
  </si>
  <si>
    <t>I-D1-05</t>
  </si>
  <si>
    <t>Capacité de réserve serveurs</t>
  </si>
  <si>
    <t>Évaluer si les serveurs OT disposent d'une capacité de réserve (CPU, RAM, stockage) permettant l'extension</t>
  </si>
  <si>
    <t>Les serveurs OT disposent-ils d'une capacité de réserve documentée d'au moins 30 % sur les ressources critiques (CPU, RAM, stockage) ?</t>
  </si>
  <si>
    <t>Mesure système</t>
  </si>
  <si>
    <t>Administrateur serveurs</t>
  </si>
  <si>
    <t>Rapports utilisation ressources, documenté dans spécifications</t>
  </si>
  <si>
    <t>GAP-SD1.2-CAP</t>
  </si>
  <si>
    <t>Réquisition Beni Amir item 2 (30 % spare)</t>
  </si>
  <si>
    <t>Chiffre 30 % tiré de la réquisition Beni Amir, à adapter au contexte</t>
  </si>
  <si>
    <t>I-D1-06</t>
  </si>
  <si>
    <t>Plan de reprise d'activité OT</t>
  </si>
  <si>
    <t>Évaluer l'existence et la validité d'un plan de reprise d'activité documenté pour les serveurs OT</t>
  </si>
  <si>
    <t>Un plan de reprise d'activité (DRP) pour les serveurs OT est-il documenté, testé et à jour ?</t>
  </si>
  <si>
    <t>Revue documentaire</t>
  </si>
  <si>
    <t>Responsable infrastructure / Direction technique</t>
  </si>
  <si>
    <t>Serveurs OT critiques</t>
  </si>
  <si>
    <t>Plan DRP, compte-rendu test DRP</t>
  </si>
  <si>
    <t>GAP-SD1.2-DRP</t>
  </si>
  <si>
    <t>Test DRP : simulacre documenté requis pour niveau 4</t>
  </si>
  <si>
    <t>I-D2-01</t>
  </si>
  <si>
    <t>Standardisation des protocoles industriels</t>
  </si>
  <si>
    <t>Évaluer si les échanges de données entre équipements industriels utilisent des protocoles normalisés</t>
  </si>
  <si>
    <t>Les échanges de données entre automates, capteurs et systèmes de supervision utilisent-ils des protocoles industriels normalisés (Modbus TCP, PROFINET, OPC UA ou équivalent) ?</t>
  </si>
  <si>
    <t>Revue documentation technique</t>
  </si>
  <si>
    <t>Ingénieur automatisme / Responsable OT</t>
  </si>
  <si>
    <t>Réseau industriel OT</t>
  </si>
  <si>
    <t>Documentation des interfaces, liste des protocoles utilisés</t>
  </si>
  <si>
    <t>GAP-SD2.1-PROTO</t>
  </si>
  <si>
    <t>Chapitre 4 JESA ; Réquisition Beni Amir item 5</t>
  </si>
  <si>
    <t>Basé sur documentation technique disponible</t>
  </si>
  <si>
    <t>I-D2-02</t>
  </si>
  <si>
    <t>Déploiement OPC UA</t>
  </si>
  <si>
    <t>Évaluer le niveau de déploiement du protocole OPC UA comme standard d'interopérabilité</t>
  </si>
  <si>
    <t>Un serveur OPC UA est-il déployé et opérationnel pour assurer les échanges de données entre les systèmes OT et les systèmes de niveau supérieur (MES, ERP, cloud) ?</t>
  </si>
  <si>
    <t>Observation + test</t>
  </si>
  <si>
    <t>Ingénieur automatisme / Administrateur OPC UA</t>
  </si>
  <si>
    <t>Interfaces OT-IT</t>
  </si>
  <si>
    <t>Configuration OPC UA Server, tests de communication</t>
  </si>
  <si>
    <t>GAP-SD2.1-OPCUA</t>
  </si>
  <si>
    <t>Réquisition Beni Amir item 5 &amp; 15 ; DCS Spec Q12203-00-IC-SPC-00005</t>
  </si>
  <si>
    <t>Directement testable</t>
  </si>
  <si>
    <t>I-D2-03</t>
  </si>
  <si>
    <t>Documentation des interfaces inter-systèmes</t>
  </si>
  <si>
    <t>Évaluer l'existence et la qualité de la documentation des interfaces de communication entre systèmes</t>
  </si>
  <si>
    <t>Toutes les interfaces de communication entre les systèmes industriels (DCS, SCADA, MES, historian, ERP) sont-elles documentées avec les protocoles, formats et fréquences d'échange ?</t>
  </si>
  <si>
    <t>Ingénieur systèmes / Responsable OT</t>
  </si>
  <si>
    <t>Interfaces inter-systèmes</t>
  </si>
  <si>
    <t>Matrices d'interfaces, documentation API, schémas de flux</t>
  </si>
  <si>
    <t>GAP-SD2.1-DOCIF</t>
  </si>
  <si>
    <t>Revue documentaire directe</t>
  </si>
  <si>
    <t>I-D2-04</t>
  </si>
  <si>
    <t>Intégration OT/IT bidirectionnelle</t>
  </si>
  <si>
    <t>Évaluer si les données OT remontent automatiquement vers les systèmes IT et vice-versa</t>
  </si>
  <si>
    <t>Les données de procédé (niveaux L0-L2) remontent-elles automatiquement vers les systèmes de gestion (niveaux L3-L4) sans intervention manuelle ?</t>
  </si>
  <si>
    <t>Test + documentation</t>
  </si>
  <si>
    <t>Ingénieur intégration / Responsable OT</t>
  </si>
  <si>
    <t>Flux OT vers IT</t>
  </si>
  <si>
    <t>Schéma d'intégration, logs de flux de données, Data Node configuration</t>
  </si>
  <si>
    <t>GAP-SD2.2-INTEG</t>
  </si>
  <si>
    <t>Chapitre 4 JESA ; Mining 5.0 Site Data Node</t>
  </si>
  <si>
    <t>Basé sur test de flux de données</t>
  </si>
  <si>
    <t>I-D2-05</t>
  </si>
  <si>
    <t>Monitoring des flux de données OT/IT</t>
  </si>
  <si>
    <t>Évaluer si les flux de données entre OT et IT sont supervisés avec alertes en cas d'anomalie</t>
  </si>
  <si>
    <t>Les flux de données entre les systèmes OT et IT sont-ils supervisés automatiquement, avec des alertes configurées en cas d'interruption ou de dégradation ?</t>
  </si>
  <si>
    <t>Observation outil de monitoring</t>
  </si>
  <si>
    <t>Administrateur réseau / Responsable IT-OT</t>
  </si>
  <si>
    <t>Flux de données inter-systèmes</t>
  </si>
  <si>
    <t>Configuration monitoring, logs d'alertes, tableaux de bord NMS</t>
  </si>
  <si>
    <t>GAP-SD2.2-MON</t>
  </si>
  <si>
    <t>Chapitre 4 JESA ; Mining 5.0 Log Manager VM</t>
  </si>
  <si>
    <t>Requiert outil de monitoring actif</t>
  </si>
  <si>
    <t>I-D2-06</t>
  </si>
  <si>
    <t>Latence et fiabilité des échanges mesurées</t>
  </si>
  <si>
    <t>Évaluer si la latence et le taux de fiabilité des échanges OT/IT sont mesurés et documentés</t>
  </si>
  <si>
    <t>La latence et le taux de disponibilité des échanges de données entre OT et IT sont-ils mesurés périodiquement et comparés à des objectifs de service (SLA) définis ?</t>
  </si>
  <si>
    <t>Mesure + documentation</t>
  </si>
  <si>
    <t>Administrateur réseau</t>
  </si>
  <si>
    <t>Interfaces OT/IT critiques</t>
  </si>
  <si>
    <t>Rapports de latence, SLA documentés, historique de disponibilité échanges</t>
  </si>
  <si>
    <t>GAP-SD2.2-SLA</t>
  </si>
  <si>
    <t>Requiert historique de mesures</t>
  </si>
  <si>
    <t>I-D3-01</t>
  </si>
  <si>
    <t>Couverture DCS/PLC sur boucles critiques</t>
  </si>
  <si>
    <t>Évaluer le pourcentage des boucles de contrôle critiques couvertes par un DCS ou PLC</t>
  </si>
  <si>
    <t>Quel pourcentage des boucles de contrôle critiques (régulation, sécurité procédé) est piloté par un DCS ou PLC programmable ?</t>
  </si>
  <si>
    <t>Ingénieur automatisme / Responsable production</t>
  </si>
  <si>
    <t>Procédé industriel</t>
  </si>
  <si>
    <t>Liste des boucles, inventaire DCS/PLC, IO count report</t>
  </si>
  <si>
    <t>GAP-SD3.1-COV</t>
  </si>
  <si>
    <t>Basé sur IO count report</t>
  </si>
  <si>
    <t>I-D3-02</t>
  </si>
  <si>
    <t>Documentation et paramétrage DCS</t>
  </si>
  <si>
    <t>Évaluer si la configuration et le paramétrage du DCS sont documentés et maintenus à jour</t>
  </si>
  <si>
    <t>La configuration complète du DCS (programmes, paramètres de boucle, calibrations) est-elle documentée et maintenue à jour dans un système de gestion de configuration ?</t>
  </si>
  <si>
    <t>Ingénieur automatisme</t>
  </si>
  <si>
    <t>DCS/PLC</t>
  </si>
  <si>
    <t>Documentations DCS, base de données de configuration, procédure de gestion des modifications</t>
  </si>
  <si>
    <t>GAP-SD3.1-DOC</t>
  </si>
  <si>
    <t>Chapitre 4 JESA ; DCS Spec Q12203-00-IC-SPC-00005</t>
  </si>
  <si>
    <t>Directement vérifiable</t>
  </si>
  <si>
    <t>I-D3-03</t>
  </si>
  <si>
    <t>Gestion et rationalisation des alarmes DCS</t>
  </si>
  <si>
    <t>Évaluer si le système d'alarmes du DCS est géré, rationalisé et conforme aux bonnes pratiques</t>
  </si>
  <si>
    <t>Le système d'alarmes du DCS fait-il l'objet d'une gestion active (priorisation, rationalisation, suppression des alarmes parasites) conforme à une norme ou une procédure documentée ?</t>
  </si>
  <si>
    <t>Revue procédure + statistiques alarmes</t>
  </si>
  <si>
    <t>Ingénieur procédé / Opérateur senior</t>
  </si>
  <si>
    <t>Système d'alarmes DCS</t>
  </si>
  <si>
    <t>Procédure de gestion des alarmes, KPI alarmes (nuisances, standing), rapport de rationalisation</t>
  </si>
  <si>
    <t>GAP-SD3.1-ALM</t>
  </si>
  <si>
    <t>Chapitre 4 JESA ; Alarm Mgmt Spec Q12203-00-DG-SPC-00008</t>
  </si>
  <si>
    <t>Taux nuisances &lt; 10 % requis pour niveau 3</t>
  </si>
  <si>
    <t>I-D3-04</t>
  </si>
  <si>
    <t>Déploiement MES et traçabilité production</t>
  </si>
  <si>
    <t>Évaluer si un système d'exécution de la fabrication (MES) est déployé et opérationnel</t>
  </si>
  <si>
    <t>Un système d'exécution de la fabrication (MES) ou équivalent est-il déployé, interfacé au DCS et utilisé pour la traçabilité de la production ?</t>
  </si>
  <si>
    <t>Observation + démonstration</t>
  </si>
  <si>
    <t>Responsable production / Responsable IT</t>
  </si>
  <si>
    <t>Unité de production</t>
  </si>
  <si>
    <t>Documentation MES, interface MES/DCS, rapports de traçabilité</t>
  </si>
  <si>
    <t>GAP-SD3.2-MES</t>
  </si>
  <si>
    <t>Démonstration fonctionnelle requise</t>
  </si>
  <si>
    <t>I-D3-05</t>
  </si>
  <si>
    <t>Ordonnancement automatisé de la production</t>
  </si>
  <si>
    <t>Évaluer si la planification et l'ordonnancement de la production sont automatisés ou assistés</t>
  </si>
  <si>
    <t>La planification et l'ordonnancement de la production sont-ils réalisés par un outil automatisé (MES, APS ou équivalent) ou restent-ils entièrement manuels ?</t>
  </si>
  <si>
    <t>Observation + entretien planificateur</t>
  </si>
  <si>
    <t>Planificateur de production / Responsable production</t>
  </si>
  <si>
    <t>Planification production</t>
  </si>
  <si>
    <t>Logiciel d'ordonnancement, plans de production générés automatiquement</t>
  </si>
  <si>
    <t>GAP-SD3.2-PLAN</t>
  </si>
  <si>
    <t>Entretien planificateur complète la revue outil</t>
  </si>
  <si>
    <t>I-D3-06</t>
  </si>
  <si>
    <t>Écarts planifié/réel analysés et documentés</t>
  </si>
  <si>
    <t>Évaluer si les écarts entre production planifiée et production réelle sont mesurés et analysés</t>
  </si>
  <si>
    <t>Les écarts entre la production planifiée et la production réelle sont-ils mesurés automatiquement, analysés et font-ils l'objet d'actions correctives documentées ?</t>
  </si>
  <si>
    <t>Revue des rapports de production</t>
  </si>
  <si>
    <t>Responsable production</t>
  </si>
  <si>
    <t>Reporting production</t>
  </si>
  <si>
    <t>Rapports d'écarts planifié/réel, actions correctives tracées</t>
  </si>
  <si>
    <t>GAP-SD3.2-GAP</t>
  </si>
  <si>
    <t>Basé sur rapports disponibles</t>
  </si>
  <si>
    <t>I-D4-01</t>
  </si>
  <si>
    <t>Couverture SCADA du procédé</t>
  </si>
  <si>
    <t>Évaluer le pourcentage du procédé supervisé via un système SCADA ou DCS centralisé</t>
  </si>
  <si>
    <t>Quel pourcentage des équipements et unités du procédé est supervisé en temps réel via un système SCADA ou la console DCS centralisée de la salle de contrôle ?</t>
  </si>
  <si>
    <t>Ingénieur automatisme / Opérateur salle de contrôle</t>
  </si>
  <si>
    <t>Documentation SCADA, liste des points supervisés, synoptiques</t>
  </si>
  <si>
    <t>GAP-SD4.1-COV</t>
  </si>
  <si>
    <t>Chapitre 4 JESA ; Mining 5.0 ICS OWS</t>
  </si>
  <si>
    <t>Observable directement</t>
  </si>
  <si>
    <t>I-D4-02</t>
  </si>
  <si>
    <t>Standardisation des interfaces opérateur (HMI)</t>
  </si>
  <si>
    <t>Évaluer si les interfaces opérateur (HMI/IHM) sont standardisées selon des bonnes pratiques</t>
  </si>
  <si>
    <t>Les interfaces opérateur (HMI/IHM) sont-elles conçues et standardisées selon une charte graphique ou une norme documentée (ex : ISA-101 ou équivalent interne) ?</t>
  </si>
  <si>
    <t>Observation + revue charte</t>
  </si>
  <si>
    <t>Ingénieur ergonomie IHM / Opérateur senior</t>
  </si>
  <si>
    <t>HMI salle de contrôle</t>
  </si>
  <si>
    <t>Charte IHM, documentation de standardisation, captures écran synoptiques</t>
  </si>
  <si>
    <t>GAP-SD4.1-HMI</t>
  </si>
  <si>
    <t>Observation directe en salle de contrôle</t>
  </si>
  <si>
    <t>I-D4-03</t>
  </si>
  <si>
    <t>Gestion des alarmes SCADA (taux de nuisances)</t>
  </si>
  <si>
    <t>Évaluer la qualité de la gestion des alarmes du système SCADA</t>
  </si>
  <si>
    <t>Le taux d'alarmes nuisances (alarmes sans action opérateur requise) du système SCADA est-il mesuré et maintenu en dessous d'un seuil défini ?</t>
  </si>
  <si>
    <t>Extraction statistiques alarmes</t>
  </si>
  <si>
    <t>Ingénieur automatisme / Responsable sécurité procédé</t>
  </si>
  <si>
    <t>Système d'alarmes SCADA</t>
  </si>
  <si>
    <t>Rapport statistiques alarmes, procédure de rationalisation</t>
  </si>
  <si>
    <t>GAP-SD4.1-ALM</t>
  </si>
  <si>
    <t>Taux nuisances : seuil &lt; 10 % recommandé (ISA-18.2)</t>
  </si>
  <si>
    <t>I-D4-04</t>
  </si>
  <si>
    <t>Déploiement de capteurs de condition sur équipements critiques</t>
  </si>
  <si>
    <t>Évaluer la couverture des équipements critiques par des capteurs de surveillance de condition</t>
  </si>
  <si>
    <t>Quel pourcentage des équipements critiques (pompes, moteurs, convoyeurs, équipements rotatifs) est équipé de capteurs de surveillance de condition (vibration, température, courant) ?</t>
  </si>
  <si>
    <t>Inventaire terrain</t>
  </si>
  <si>
    <t>Technicien maintenance / Ingénieur fiabilité</t>
  </si>
  <si>
    <t>Équipements critiques</t>
  </si>
  <si>
    <t>Inventaire capteurs de condition, liste équipements critiques</t>
  </si>
  <si>
    <t>GAP-SD4.2-SENS</t>
  </si>
  <si>
    <t>Chapitre 4 JESA ; Mining 5.0 CBMS/TPMS</t>
  </si>
  <si>
    <t>Inventaire terrain requis</t>
  </si>
  <si>
    <t>I-D4-05</t>
  </si>
  <si>
    <t>Système CBMS/maintenance conditionnelle opérationnel</t>
  </si>
  <si>
    <t>Évaluer si un système de maintenance basé sur la condition (CBMS) est opérationnel et utilisé</t>
  </si>
  <si>
    <t>Un système de maintenance basé sur la condition (CBMS ou équivalent) est-il opérationnel, alimenté par les capteurs de condition et utilisé par les équipes de maintenance ?</t>
  </si>
  <si>
    <t>Démonstration + entretien maintenance</t>
  </si>
  <si>
    <t>Responsable maintenance / Ingénieur fiabilité</t>
  </si>
  <si>
    <t>Maintenance des équipements</t>
  </si>
  <si>
    <t>Documentation CBMS, alertes générées, interventions déclenchées par CBMS</t>
  </si>
  <si>
    <t>GAP-SD4.2-CBMS</t>
  </si>
  <si>
    <t>Chapitre 4 JESA ; Mining 5.0 CBMS VM</t>
  </si>
  <si>
    <t>Démonstration du système requise</t>
  </si>
  <si>
    <t>I-D4-06</t>
  </si>
  <si>
    <t>Modèles prédictifs de défaillance opérationnels</t>
  </si>
  <si>
    <t>Évaluer si des modèles algorithmiques de prédiction de défaillance sont actifs en production</t>
  </si>
  <si>
    <t>Des modèles algorithmiques ou statistiques de prédiction de défaillance (seuils adaptatifs, ML, analyse vibratoire avancée) sont-ils opérationnels et ont-ils permis d'éviter des arrêts documentés ?</t>
  </si>
  <si>
    <t>Revue documentation + entretien</t>
  </si>
  <si>
    <t>Ingénieur data / Responsable maintenance</t>
  </si>
  <si>
    <t>Documentation modèles prédictifs, historique arrêts évités, rapports performance</t>
  </si>
  <si>
    <t>GAP-SD4.2-PRED</t>
  </si>
  <si>
    <t>Chapitre 4 JESA ; Mining 5.0 ALMS</t>
  </si>
  <si>
    <t>Preuve d'arrêts évités requise pour niveau 5</t>
  </si>
  <si>
    <t>I-D5-01</t>
  </si>
  <si>
    <t>Historian industriel opérationnel et couverture</t>
  </si>
  <si>
    <t>Évaluer si un historian industriel est déployé et couvre les points de mesure critiques</t>
  </si>
  <si>
    <t>Un historian industriel est-il déployé, opérationnel et collecte-t-il les données de ≥ 80 % des points de mesure critiques du procédé ?</t>
  </si>
  <si>
    <t>Vérification configuration historian</t>
  </si>
  <si>
    <t>Ingénieur automatisme / Administrateur historian</t>
  </si>
  <si>
    <t>Points de mesure procédé</t>
  </si>
  <si>
    <t>Configuration historian, liste des tags historisés, rapport de couverture</t>
  </si>
  <si>
    <t>GAP-SD5.1-HIST</t>
  </si>
  <si>
    <t>Accès direct à la configuration historian</t>
  </si>
  <si>
    <t>I-D5-02</t>
  </si>
  <si>
    <t>Rétention des données historiques (durée)</t>
  </si>
  <si>
    <t>Évaluer si la politique de rétention des données de l'historian est suffisante pour les besoins opérationnels</t>
  </si>
  <si>
    <t>La politique de rétention de l'historian assure-t-elle une conservation des données d'au moins 12 mois pour les variables critiques ?</t>
  </si>
  <si>
    <t>Revue configuration</t>
  </si>
  <si>
    <t>Administrateur historian</t>
  </si>
  <si>
    <t>Historian industriel</t>
  </si>
  <si>
    <t>Paramètres de rétention configurés, test d'accès aux données historiques</t>
  </si>
  <si>
    <t>GAP-SD5.1-RET</t>
  </si>
  <si>
    <t>Paramètre directement vérifiable</t>
  </si>
  <si>
    <t>I-D5-03</t>
  </si>
  <si>
    <t>Traçabilité des données jusqu'au capteur</t>
  </si>
  <si>
    <t>Évaluer si la lignée des données permet de remonter jusqu'au capteur ou à la source primaire</t>
  </si>
  <si>
    <t>Chaque donnée stockée dans l'historian peut-elle être tracée jusqu'à sa source primaire (tag de capteur, équipement, localisation physique) avec son horodatage ?</t>
  </si>
  <si>
    <t>Test de traçabilité</t>
  </si>
  <si>
    <t>Ingénieur instrumentation / Administrateur historian</t>
  </si>
  <si>
    <t>Données de l'historian</t>
  </si>
  <si>
    <t>Nomenclature des tags, documentation de traçabilité, test sur quelques exemples</t>
  </si>
  <si>
    <t>GAP-SD5.1-TRACE</t>
  </si>
  <si>
    <t>Test pratique sur un échantillon de tags</t>
  </si>
  <si>
    <t>I-D5-04</t>
  </si>
  <si>
    <t>Politique de qualité des données formalisée</t>
  </si>
  <si>
    <t>Évaluer si une politique de qualité des données industrielles est définie et approuvée</t>
  </si>
  <si>
    <t>Une politique de qualité des données industrielles est-elle formalisée, approuvée par la direction et connue des équipes opérationnelles ?</t>
  </si>
  <si>
    <t>Responsable qualité / Direction technique</t>
  </si>
  <si>
    <t>Données industrielles</t>
  </si>
  <si>
    <t>Document de politique qualité données, preuves de diffusion</t>
  </si>
  <si>
    <t>GAP-SD5.2-POL</t>
  </si>
  <si>
    <t>Revue du document et confirmation de diffusion</t>
  </si>
  <si>
    <t>I-D5-05</t>
  </si>
  <si>
    <t>Référentiel de données industrielles défini</t>
  </si>
  <si>
    <t>Évaluer si un référentiel (dictionnaire) de données industrielles est défini et maintenu</t>
  </si>
  <si>
    <t>Un référentiel de données industrielles (dictionnaire des données, nomenclature des tags, définitions des KPI) est-il documenté et maintenu à jour ?</t>
  </si>
  <si>
    <t>Data steward / Responsable OT</t>
  </si>
  <si>
    <t>Référentiel de données, dictionnaire des tags, procédure de mise à jour</t>
  </si>
  <si>
    <t>GAP-SD5.2-REF</t>
  </si>
  <si>
    <t>Document à soumettre lors de l'évaluation</t>
  </si>
  <si>
    <t>I-D5-06</t>
  </si>
  <si>
    <t>Mesure automatique de la qualité des données</t>
  </si>
  <si>
    <t>Évaluer si la qualité des données (complétude, fraîcheur, cohérence) est mesurée automatiquement</t>
  </si>
  <si>
    <t>La qualité des données industrielles (taux de complétude, fraîcheur, cohérence) est-elle mesurée automatiquement et comparée à des objectifs définis ?</t>
  </si>
  <si>
    <t>Revue outil qualité données</t>
  </si>
  <si>
    <t>Data steward / Administrateur historian</t>
  </si>
  <si>
    <t>Données historian et SCADA</t>
  </si>
  <si>
    <t>Configuration outil qualité données, KPI qualité, rapports automatiques</t>
  </si>
  <si>
    <t>GAP-SD5.2-QUA</t>
  </si>
  <si>
    <t>Requiert outil de mesure de qualité de données opérationnel</t>
  </si>
  <si>
    <t>I-D6-01</t>
  </si>
  <si>
    <t>Tableaux de bord KPI opérationnels automatisés</t>
  </si>
  <si>
    <t>Évaluer si des tableaux de bord KPI sont disponibles automatiquement pour les équipes opérationnelles</t>
  </si>
  <si>
    <t>Des tableaux de bord affichant les KPI opérationnels clés (production, qualité, disponibilité) sont-ils disponibles en temps réel sans intervention manuelle pour les équipes opérationnelles ?</t>
  </si>
  <si>
    <t>Démonstration</t>
  </si>
  <si>
    <t>Responsable production / Ingénieur données</t>
  </si>
  <si>
    <t>Données opérationnelles</t>
  </si>
  <si>
    <t>Démonstration des tableaux de bord, liste des KPI, fréquence de mise à jour</t>
  </si>
  <si>
    <t>GAP-SD6.1-KPI</t>
  </si>
  <si>
    <t>Chapitre 4 JESA ; Mining 5.0 CSDS VM</t>
  </si>
  <si>
    <t>Démonstration fonctionnelle en salle de contrôle</t>
  </si>
  <si>
    <t>I-D6-02</t>
  </si>
  <si>
    <t>Plateforme BI industrielle opérationnelle</t>
  </si>
  <si>
    <t>Évaluer si une plateforme d'intelligence d'affaire (BI) dédiée aux données industrielles est en service</t>
  </si>
  <si>
    <t>Une plateforme de Business Intelligence (BI) ou d'analytique industrielle est-elle déployée, connectée aux données OT et utilisée régulièrement par les équipes ?</t>
  </si>
  <si>
    <t>Observation + entretien</t>
  </si>
  <si>
    <t>Ingénieur données / Responsable amélioration continue</t>
  </si>
  <si>
    <t>Accès à la plateforme BI, rapports générés, liste des utilisateurs</t>
  </si>
  <si>
    <t>GAP-SD6.1-BI</t>
  </si>
  <si>
    <t>Accès direct à la plateforme requise</t>
  </si>
  <si>
    <t>I-D6-03</t>
  </si>
  <si>
    <t>Analyse des causes racines structurée et documentée</t>
  </si>
  <si>
    <t>Évaluer si les analyses de causes racines sur les incidents et écarts de performance sont outillées</t>
  </si>
  <si>
    <t>Les analyses de causes racines sur les incidents de production ou de qualité sont-elles réalisées avec un outil ou une méthode structurée et les résultats documentés ?</t>
  </si>
  <si>
    <t>Revue des dossiers d'analyse</t>
  </si>
  <si>
    <t>Ingénieur qualité / Responsable production</t>
  </si>
  <si>
    <t>Incidents et écarts de performance</t>
  </si>
  <si>
    <t>Dossiers d'analyse causes racines, méthode documentée (5 Pourquoi, Ishikawa, etc.)</t>
  </si>
  <si>
    <t>GAP-SD6.1-RCA</t>
  </si>
  <si>
    <t>Au moins 3 dossiers récents à examiner</t>
  </si>
  <si>
    <t>I-D6-04</t>
  </si>
  <si>
    <t>Modèles d'apprentissage automatique (ML) opérationnels</t>
  </si>
  <si>
    <t>Évaluer si des modèles ML sont déployés en production sur des données industrielles</t>
  </si>
  <si>
    <t>Au moins un modèle d'apprentissage automatique (ML) est-il déployé en production, alimenté par des données industrielles réelles et utilisé par les opérateurs ou techniciens ?</t>
  </si>
  <si>
    <t>Démonstration + documentation</t>
  </si>
  <si>
    <t>Ingénieur données / Responsable digital</t>
  </si>
  <si>
    <t>Documentation du modèle ML, résultats de validation, preuve d'utilisation</t>
  </si>
  <si>
    <t>GAP-SD6.2-ML</t>
  </si>
  <si>
    <t>Preuve d'utilisation réelle requise</t>
  </si>
  <si>
    <t>I-D6-05</t>
  </si>
  <si>
    <t>Pipeline de données vers les modèles ML documenté</t>
  </si>
  <si>
    <t>Évaluer si le pipeline de données alimentant les modèles ML est documenté et opérationnel</t>
  </si>
  <si>
    <t>Le pipeline de données (collecte, prétraitement, feature engineering, alimentation des modèles) est-il documenté, automatisé et opérationnel en production ?</t>
  </si>
  <si>
    <t>Revue technique</t>
  </si>
  <si>
    <t>Ingénieur données / Administrateur ML</t>
  </si>
  <si>
    <t>Pipeline de données ML</t>
  </si>
  <si>
    <t>Documentation du pipeline, logs d'exécution, schéma de flux de données</t>
  </si>
  <si>
    <t>GAP-SD6.2-PIPE</t>
  </si>
  <si>
    <t>Documentation technique à examiner</t>
  </si>
  <si>
    <t>I-D6-06</t>
  </si>
  <si>
    <t>Gain mesuré des modèles IA sur les KPI opérationnels</t>
  </si>
  <si>
    <t>Évaluer si les modèles IA déployés ont produit un gain mesurable sur des KPI opérationnels</t>
  </si>
  <si>
    <t>Les modèles IA ou ML déployés ont-ils produit un gain documenté et quantifié sur au moins un KPI opérationnel (rendement, consommation, disponibilité, qualité) ?</t>
  </si>
  <si>
    <t>Revue rapports de performance</t>
  </si>
  <si>
    <t>Ingénieur données / Direction technique</t>
  </si>
  <si>
    <t>Modèles IA en production</t>
  </si>
  <si>
    <t>Modèle IA déjà déployé</t>
  </si>
  <si>
    <t>Rapport de gain IA, KPI avant/après déploiement</t>
  </si>
  <si>
    <t>GAP-SD6.2-ROI</t>
  </si>
  <si>
    <t>Comparaison avant/après déploiement requise</t>
  </si>
  <si>
    <t>I-D7-01</t>
  </si>
  <si>
    <t>Segmentation réseau OT/IT (firewall inter-zones)</t>
  </si>
  <si>
    <t>Évaluer si un firewall opérationnel sépare les réseaux OT et IT</t>
  </si>
  <si>
    <t>Un firewall dédié est-il opérationnel et documenté entre le réseau OT (niveaux L0-L2) et le réseau IT (niveau L3 et au-delà) ?</t>
  </si>
  <si>
    <t>Revue architecture + test</t>
  </si>
  <si>
    <t>Ingénieur cybersécurité OT</t>
  </si>
  <si>
    <t>Architecture réseau</t>
  </si>
  <si>
    <t>Schéma réseau, règles firewall documentées, test de segmentation</t>
  </si>
  <si>
    <t>GAP-SD7.1-FW</t>
  </si>
  <si>
    <t>Chapitre 4 JESA ; OT Cybersecurity Spec Q12203-00-DG-SPC-00006 ; Mining 5.0 Plant L3 FW</t>
  </si>
  <si>
    <t>Test de segmentation requiert compétence cybersécurité</t>
  </si>
  <si>
    <t>I-D7-02</t>
  </si>
  <si>
    <t>Zone démilitarisée OT (DMZ L3.5) opérationnelle</t>
  </si>
  <si>
    <t>Évaluer si une zone DMZ dédiée à l'échange OT/IT sécurisé est opérationnelle</t>
  </si>
  <si>
    <t>Une zone DMZ (zone démilitarisée) dédiée aux échanges entre OT et IT est-elle déployée et opérationnelle selon une architecture documentée ?</t>
  </si>
  <si>
    <t>Revue architecture + observation</t>
  </si>
  <si>
    <t>Architecture cybersécurité</t>
  </si>
  <si>
    <t>Architecture DMZ documentée, règles de flux, tests de validation</t>
  </si>
  <si>
    <t>GAP-SD7.1-DMZ</t>
  </si>
  <si>
    <t>Chapitre 4 JESA ; Mining 5.0 L3.5 DMZ</t>
  </si>
  <si>
    <t>Architecture Mining 5.0 inclut une DMZ L3.5 dédiée</t>
  </si>
  <si>
    <t>I-D7-03</t>
  </si>
  <si>
    <t>Politique de gestion des patches OT documentée et appliquée</t>
  </si>
  <si>
    <t>Évaluer si une politique de patch management spécifique aux systèmes OT est en place</t>
  </si>
  <si>
    <t>Une politique de gestion des mises à jour et patches pour les systèmes OT (DCS, SCADA, serveurs OT) est-elle documentée, approuvée et appliquée selon un calendrier défini ?</t>
  </si>
  <si>
    <t>Revue documentaire + entretien</t>
  </si>
  <si>
    <t>Administrateur systèmes OT / Responsable cybersécurité</t>
  </si>
  <si>
    <t>Systèmes OT</t>
  </si>
  <si>
    <t>Politique patch management OT, calendrier de déploiement, journal des patches appliqués</t>
  </si>
  <si>
    <t>GAP-SD7.1-PATCH</t>
  </si>
  <si>
    <t>Réquisition Beni Amir item 1.7 ; OT Patch Mgmt Spec Q12203-00-DG-SPC-00014</t>
  </si>
  <si>
    <t>Politique OT distincte de la politique IT requise pour niveau 3</t>
  </si>
  <si>
    <t>I-D7-04</t>
  </si>
  <si>
    <t>Active Directory OT déployé et opérationnel</t>
  </si>
  <si>
    <t>Évaluer si une gestion centralisée des identités spécifique aux systèmes OT est en place</t>
  </si>
  <si>
    <t>Un Active Directory (ou équivalent) dédié à la gestion des identités et accès OT est-il déployé et opérationnel, distinct de l'Active Directory IT ?</t>
  </si>
  <si>
    <t>Administrateur AD OT / Responsable cybersécurité</t>
  </si>
  <si>
    <t>Configuration AD OT, liste des comptes gérés, politique de mots de passe</t>
  </si>
  <si>
    <t>GAP-SD7.2-AD</t>
  </si>
  <si>
    <t>Chapitre 4 JESA ; OT AD Spec Q12203-00-DG-SPC-00013 ; Mining 5.0 AD/DC VM</t>
  </si>
  <si>
    <t>AD OT distinct de l'AD IT est requis pour niveau 3</t>
  </si>
  <si>
    <t>I-D7-05</t>
  </si>
  <si>
    <t>Contrôle des accès distants OT (MFA/Jump Host)</t>
  </si>
  <si>
    <t>Évaluer si les accès distants aux systèmes OT sont sécurisés et contrôlés</t>
  </si>
  <si>
    <t>Les accès distants aux systèmes OT (maintenance, configuration) passent-ils obligatoirement par un point d'accès sécurisé (Jump Host, VPN avec MFA) et sont-ils tracés ?</t>
  </si>
  <si>
    <t>Test + revue logs accès</t>
  </si>
  <si>
    <t>Administrateur cybersécurité / Responsable OT</t>
  </si>
  <si>
    <t>Accès distants OT</t>
  </si>
  <si>
    <t>Configuration Jump Host, politique VPN, logs d'accès distants</t>
  </si>
  <si>
    <t>GAP-SD7.2-MFA</t>
  </si>
  <si>
    <t>Chapitre 4 JESA ; Mining 5.0 Jump Host Server VM ; OT Cybersecurity Spec</t>
  </si>
  <si>
    <t>Jump Host présent dans l'architecture Mining 5.0</t>
  </si>
  <si>
    <t>I-D7-06</t>
  </si>
  <si>
    <t>Revue périodique des droits d'accès OT</t>
  </si>
  <si>
    <t>Évaluer si les droits d'accès aux systèmes OT font l'objet d'une revue régulière et documentée</t>
  </si>
  <si>
    <t>Les droits d'accès aux systèmes OT (DCS, SCADA, historian, réseau OT) font-ils l'objet d'une revue formelle au moins annuelle, avec suppression documentée des comptes inactifs ?</t>
  </si>
  <si>
    <t>Revue documentaire + logs</t>
  </si>
  <si>
    <t>Comptes et droits d'accès OT</t>
  </si>
  <si>
    <t>Compte-rendu revue accès, liste des comptes supprimés, procédure de revue</t>
  </si>
  <si>
    <t>GAP-SD7.2-REV</t>
  </si>
  <si>
    <t>Revue annuelle documentée requise pour niveau 3</t>
  </si>
  <si>
    <t>I-D8-01</t>
  </si>
  <si>
    <t>Politique de transformation digitale formalisée et approuvée</t>
  </si>
  <si>
    <t>Évaluer si le site dispose d'une politique ou stratégie de transformation digitale documentée</t>
  </si>
  <si>
    <t>Une politique ou stratégie de transformation digitale formalisée est-elle documentée, approuvée par la direction du site et connue des équipes d'encadrement ?</t>
  </si>
  <si>
    <t>Revue documentaire + entretien direction</t>
  </si>
  <si>
    <t>Direction technique / Responsable digital</t>
  </si>
  <si>
    <t>Organisation du site</t>
  </si>
  <si>
    <t>Document de politique digitale, organigramme du responsable digital, preuves de diffusion</t>
  </si>
  <si>
    <t>GAP-SD8.1-POL</t>
  </si>
  <si>
    <t>Revue du document officiel</t>
  </si>
  <si>
    <t>I-D8-02</t>
  </si>
  <si>
    <t>Processus de gestion du changement digital documenté</t>
  </si>
  <si>
    <t>Évaluer si les modifications des systèmes digitaux suivent un processus de gestion du changement</t>
  </si>
  <si>
    <t>Toute modification significative des systèmes digitaux (DCS, SCADA, réseau OT, logiciels) suit-elle un processus formalisé de gestion du changement avec validation avant mise en production ?</t>
  </si>
  <si>
    <t>Revue des procédures + exemples de cas</t>
  </si>
  <si>
    <t>Responsable digital / Responsable qualité</t>
  </si>
  <si>
    <t>Systèmes digitaux</t>
  </si>
  <si>
    <t>Procédure de gestion du changement, formulaires de demande de changement traités</t>
  </si>
  <si>
    <t>GAP-SD8.1-CHG</t>
  </si>
  <si>
    <t>Au moins 3 exemples de changements récents à examiner</t>
  </si>
  <si>
    <t>I-D8-03</t>
  </si>
  <si>
    <t>Comité de pilotage digital actif</t>
  </si>
  <si>
    <t>Évaluer si un comité de gouvernance digitale se réunit régulièrement</t>
  </si>
  <si>
    <t>Un comité de pilotage ou de gouvernance digital est-il actif sur le site, se réunit-il à une fréquence définie et produit-il des comptes-rendus documentés ?</t>
  </si>
  <si>
    <t>Revue des comptes-rendus</t>
  </si>
  <si>
    <t>Gouvernance digitale</t>
  </si>
  <si>
    <t>PV des réunions du comité, ordre du jour, décisions prises</t>
  </si>
  <si>
    <t>GAP-SD8.1-COM</t>
  </si>
  <si>
    <t>Fréquence minimale mensuelle requise pour niveau 3</t>
  </si>
  <si>
    <t>I-D8-04</t>
  </si>
  <si>
    <t>Plan d'audit OT/IT planifié et exécuté</t>
  </si>
  <si>
    <t>Évaluer si des audits formels des systèmes OT/IT sont planifiés et réalisés régulièrement</t>
  </si>
  <si>
    <t>Un plan d'audit des systèmes OT/IT est-il formalisé, approuvé et exécuté selon le calendrier prévu, avec des rapports d'audit disponibles ?</t>
  </si>
  <si>
    <t>Revue du plan + rapports</t>
  </si>
  <si>
    <t>Responsable qualité / Responsable cybersécurité</t>
  </si>
  <si>
    <t>Systèmes OT/IT</t>
  </si>
  <si>
    <t>Plan d'audit, rapports d'audit, suivi des recommandations</t>
  </si>
  <si>
    <t>GAP-SD8.2-AUD</t>
  </si>
  <si>
    <t>Au moins 1 rapport d'audit récent requis pour niveau 3</t>
  </si>
  <si>
    <t>I-D8-05</t>
  </si>
  <si>
    <t>Non-conformités digitales tracées et résolues</t>
  </si>
  <si>
    <t>Évaluer si les non-conformités identifiées lors des audits ou incidents sont tracées et résolues</t>
  </si>
  <si>
    <t>Les non-conformités identifiées lors des audits ou des incidents sur les systèmes digitaux sont-elles enregistrées dans un outil de suivi, avec une date de résolution et un responsable assigné ?</t>
  </si>
  <si>
    <t>Revue de l'outil de suivi</t>
  </si>
  <si>
    <t>Responsable qualité</t>
  </si>
  <si>
    <t>Non-conformités digitales</t>
  </si>
  <si>
    <t>Registre des non-conformités, taux de résolution dans les délais, exemples résolus</t>
  </si>
  <si>
    <t>GAP-SD8.2-NC</t>
  </si>
  <si>
    <t>Outil de suivi des non-conformités requis</t>
  </si>
  <si>
    <t>I-D8-06</t>
  </si>
  <si>
    <t>Conformité réglementaire digitale documentée</t>
  </si>
  <si>
    <t>Évaluer si la conformité aux exigences réglementaires applicables aux systèmes digitaux est documentée</t>
  </si>
  <si>
    <t>La conformité des systèmes digitaux aux exigences réglementaires, normatives ou contractuelles applicables (ex : cybersécurité, protection des données) est-elle documentée et maintenue à jour ?</t>
  </si>
  <si>
    <t>Responsable conformité / Direction technique</t>
  </si>
  <si>
    <t>Systèmes digitaux réglementés</t>
  </si>
  <si>
    <t>Matrice de conformité réglementaire, déclarations de conformité, certifications</t>
  </si>
  <si>
    <t>GAP-SD8.2-CONF</t>
  </si>
  <si>
    <t>Matrice de conformité à jour requise pour niveau 4</t>
  </si>
  <si>
    <t>I-D9-01</t>
  </si>
  <si>
    <t>Cartographie des compétences digitales réalisée</t>
  </si>
  <si>
    <t>Évaluer si une cartographie des compétences digitales des équipes a été réalisée</t>
  </si>
  <si>
    <t>Une cartographie des compétences digitales actuelles du personnel (opérateurs, techniciens, ingénieurs) a-t-elle été réalisée et documentée ?</t>
  </si>
  <si>
    <t>Responsable RH / Responsable formation</t>
  </si>
  <si>
    <t>Personnel du site</t>
  </si>
  <si>
    <t>Matrice de compétences, résultats d'évaluation, rapport de cartographie</t>
  </si>
  <si>
    <t>GAP-SD9.1-MAP</t>
  </si>
  <si>
    <t>I-D9-02</t>
  </si>
  <si>
    <t>Gaps de compétences digitales identifiés et priorisés</t>
  </si>
  <si>
    <t>Évaluer si les écarts de compétences digitales sont identifiés et priorisés par rapport aux besoins</t>
  </si>
  <si>
    <t>Les écarts de compétences digitales entre les niveaux actuels et les niveaux requis par les outils déployés sont-ils identifiés, documentés et priorisés ?</t>
  </si>
  <si>
    <t>Responsable formation / Responsable digital</t>
  </si>
  <si>
    <t>Équipes opérationnelles</t>
  </si>
  <si>
    <t>Cartographie compétences réalisée</t>
  </si>
  <si>
    <t>Analyse des écarts, liste des gaps prioritaires, lien avec les outils déployés</t>
  </si>
  <si>
    <t>GAP-SD9.1-GAP</t>
  </si>
  <si>
    <t>Basé sur la cartographie de compétences</t>
  </si>
  <si>
    <t>I-D9-03</t>
  </si>
  <si>
    <t>Compétences digitales intégrées dans les fiches de poste</t>
  </si>
  <si>
    <t>Évaluer si les compétences digitales requises sont définies dans les fiches de poste</t>
  </si>
  <si>
    <t>Les compétences digitales requises sont-elles définies et intégrées dans les fiches de poste des fonctions clés du site ?</t>
  </si>
  <si>
    <t>Revue des fiches de poste</t>
  </si>
  <si>
    <t>Responsable RH / Direction</t>
  </si>
  <si>
    <t>Fiches de poste</t>
  </si>
  <si>
    <t>Fiches de poste avec compétences digitales, révision récente</t>
  </si>
  <si>
    <t>GAP-SD9.1-JD</t>
  </si>
  <si>
    <t>Fiches de poste à soumettre</t>
  </si>
  <si>
    <t>I-D9-04</t>
  </si>
  <si>
    <t>Plan de formation digitale formalisé et approuvé</t>
  </si>
  <si>
    <t>Évaluer si un plan de formation digitale est documenté, approuvé et financé</t>
  </si>
  <si>
    <t>Un plan de formation digitale annuel (ou pluriannuel) est-il documenté, approuvé par la direction, avec un budget dédié alloué ?</t>
  </si>
  <si>
    <t>Revue documentaire + entretien RH</t>
  </si>
  <si>
    <t>Responsable formation / Direction</t>
  </si>
  <si>
    <t>Plan de formation</t>
  </si>
  <si>
    <t>Plan de formation digitale, budget approuvé, planning des sessions</t>
  </si>
  <si>
    <t>GAP-SD9.2-PLAN</t>
  </si>
  <si>
    <t>Budget dédié formation requis pour niveau 3</t>
  </si>
  <si>
    <t>I-D9-05</t>
  </si>
  <si>
    <t>Taux d'exécution du plan de formation mesuré</t>
  </si>
  <si>
    <t>Évaluer si le taux de réalisation des formations digitales planifiées est mesuré et suivi</t>
  </si>
  <si>
    <t>Le taux d'exécution des formations digitales planifiées est-il mesuré périodiquement et comparé à l'objectif fixé ?</t>
  </si>
  <si>
    <t>Revue du tableau de suivi</t>
  </si>
  <si>
    <t>Responsable formation</t>
  </si>
  <si>
    <t>Plan de formation existant</t>
  </si>
  <si>
    <t>Tableaux de suivi des formations, taux d'exécution calculé</t>
  </si>
  <si>
    <t>GAP-SD9.2-EXEC</t>
  </si>
  <si>
    <t>Taux d'exécution ≥ 80 % requis pour niveau 3</t>
  </si>
  <si>
    <t>I-D9-06</t>
  </si>
  <si>
    <t>Évaluations post-formation réalisées et documentées</t>
  </si>
  <si>
    <t>Évaluer si l'efficacité des formations digitales est mesurée après leur réalisation</t>
  </si>
  <si>
    <t>Des évaluations de l'acquisition des compétences sont-elles réalisées systématiquement à l'issue des formations digitales, avec résultats documentés ?</t>
  </si>
  <si>
    <t>Revue des documents post-formation</t>
  </si>
  <si>
    <t>Participants aux formations</t>
  </si>
  <si>
    <t>Formations réalisées</t>
  </si>
  <si>
    <t>Fiches d'évaluation post-formation, résultats, analyse des scores</t>
  </si>
  <si>
    <t>GAP-SD9.2-EVAL</t>
  </si>
  <si>
    <t>Au moins 3 évaluations récentes à examiner</t>
  </si>
  <si>
    <t>I-D10-01</t>
  </si>
  <si>
    <t>Taux d'adoption des outils numériques mesuré</t>
  </si>
  <si>
    <t>Évaluer si le taux d'utilisation réel des outils numériques déployés est mesuré</t>
  </si>
  <si>
    <t>Le taux d'utilisation réel des outils numériques déployés (SCADA, MES, BI, outils mobiles) est-il mesuré par des métriques d'usage objectifs ?</t>
  </si>
  <si>
    <t>Mesure outils + entretien</t>
  </si>
  <si>
    <t>Responsable digital / Administrateur systèmes</t>
  </si>
  <si>
    <t>Outils digitaux déployés</t>
  </si>
  <si>
    <t>Logs d'utilisation, rapport d'adoption, statistiques d'usage</t>
  </si>
  <si>
    <t>GAP-SD10.1-ADOPT</t>
  </si>
  <si>
    <t>Logs d'utilisation accessibles via les systèmes</t>
  </si>
  <si>
    <t>I-D10-02</t>
  </si>
  <si>
    <t>Référent digital identifié et actif</t>
  </si>
  <si>
    <t>Évaluer si un référent ou champion digital est identifié et joue un rôle actif dans l'adoption</t>
  </si>
  <si>
    <t>Un référent digital (champion digital) est-il identifié, dispose-t-il d'une fiche de mission documentée et joue-t-il un rôle actif dans l'accompagnement des équipes ?</t>
  </si>
  <si>
    <t>Entretien + revue fiche de mission</t>
  </si>
  <si>
    <t>Direction / Responsable digital</t>
  </si>
  <si>
    <t>Organisation</t>
  </si>
  <si>
    <t>Fiche de mission du référent digital, actions menées, témoignages équipes</t>
  </si>
  <si>
    <t>GAP-SD10.1-CHAMP</t>
  </si>
  <si>
    <t>Entretien direct avec le référent digital</t>
  </si>
  <si>
    <t>I-D10-03</t>
  </si>
  <si>
    <t>Processus de collecte et traitement des retours d'expérience digitaux</t>
  </si>
  <si>
    <t>Évaluer si les retours d'expérience sur les outils digitaux sont collectés et traités</t>
  </si>
  <si>
    <t>Un processus formalisé de collecte et de traitement des retours d'expérience (REX) des utilisateurs sur les outils numériques est-il en place et actif ?</t>
  </si>
  <si>
    <t>Revue du processus + exemples</t>
  </si>
  <si>
    <t>Utilisateurs des outils digitaux</t>
  </si>
  <si>
    <t>Procédure REX, registre des retours, actions mises en œuvre</t>
  </si>
  <si>
    <t>GAP-SD10.1-REX</t>
  </si>
  <si>
    <t>Au moins 5 REX documentés récents à examiner</t>
  </si>
  <si>
    <t>I-D10-04</t>
  </si>
  <si>
    <t>Projets pilotes (POC) digitaux planifiés et documentés</t>
  </si>
  <si>
    <t>Évaluer si des expérimentations digitales sont organisées de manière structurée</t>
  </si>
  <si>
    <t>Des projets pilotes (POC) ou expérimentations de nouvelles technologies digitales sont-ils planifiés, documentés et évalués selon une méthode structurée ?</t>
  </si>
  <si>
    <t>Revue des dossiers POC</t>
  </si>
  <si>
    <t>Responsable digital / Direction</t>
  </si>
  <si>
    <t>Innovation digitale</t>
  </si>
  <si>
    <t>Dossiers POC, objectifs définis, résultats documentés, décisions de passage à l'échelle</t>
  </si>
  <si>
    <t>GAP-SD10.2-POC</t>
  </si>
  <si>
    <t>Au moins 1 POC documenté dans l'année requis pour niveau 3</t>
  </si>
  <si>
    <t>I-D10-05</t>
  </si>
  <si>
    <t>Succès digitaux documentés et répliqués</t>
  </si>
  <si>
    <t>Évaluer si les résultats positifs des projets digitaux sont capitalisés et étendus à d'autres unités</t>
  </si>
  <si>
    <t>Les résultats positifs des projets ou outils digitaux sont-ils documentés, communiqués et ont-ils conduit à des déploiements sur d'autres unités ou sites ?</t>
  </si>
  <si>
    <t>Revue de cas + entretien</t>
  </si>
  <si>
    <t>Projets digitaux réussis</t>
  </si>
  <si>
    <t>Au moins 1 projet digital réalisé</t>
  </si>
  <si>
    <t>Fiches de réplication, communications internes, rapports d'extension</t>
  </si>
  <si>
    <t>GAP-SD10.2-REP</t>
  </si>
  <si>
    <t>Preuve de réplication requise pour niveau 4</t>
  </si>
  <si>
    <t>I-D10-06</t>
  </si>
  <si>
    <t>Veille technologique et partenariats d'innovation actifs</t>
  </si>
  <si>
    <t>Évaluer si une veille technologique digitale et des partenariats d'innovation sont en place</t>
  </si>
  <si>
    <t>Une démarche de veille technologique digitale est-elle active et le site entretient-il des partenariats formalisés avec des acteurs de l'innovation (startups, universités, clusters) ?</t>
  </si>
  <si>
    <t>Entretien + revue documentaire</t>
  </si>
  <si>
    <t>Écosystème d'innovation</t>
  </si>
  <si>
    <t>Rapports de veille, conventions de partenariat, comptes-rendus d'événements</t>
  </si>
  <si>
    <t>GAP-SD10.2-VEIL</t>
  </si>
  <si>
    <t>Partenariat formalisé requis pour niveau 5</t>
  </si>
  <si>
    <t>INDICATOR_SCORING_GRIDS — 360 grilles de scoring (60 indicateurs × 6 niveaux)</t>
  </si>
  <si>
    <t>Score</t>
  </si>
  <si>
    <t>Score_Label</t>
  </si>
  <si>
    <t>Observable_Situation</t>
  </si>
  <si>
    <t>Mandatory_Criteria</t>
  </si>
  <si>
    <t>Disqualifying_Conditions</t>
  </si>
  <si>
    <t>Evaluator_Guidance</t>
  </si>
  <si>
    <t>Next_Score_Requirement</t>
  </si>
  <si>
    <t>% équipements terrain connectés au réseau OT structuré ?</t>
  </si>
  <si>
    <t>Aucun équipement de terrain n'est connecté à un réseau industriel OT structuré. Toute communication est locale ou absente.</t>
  </si>
  <si>
    <t>Absence totale de réseau OT</t>
  </si>
  <si>
    <t>Relevé terrain confirmant l'absence</t>
  </si>
  <si>
    <t>Présence d'un seul câble réseau industriel</t>
  </si>
  <si>
    <t>Vérifier l'ensemble des zones du site</t>
  </si>
  <si>
    <t>Déployer un réseau OT industriel sur au moins 30 % des équipements</t>
  </si>
  <si>
    <t>Moins de 30 % des équipements de terrain sont connectés à un réseau industriel OT. Les connexions existantes sont isolées ou non standardisées.</t>
  </si>
  <si>
    <t>Au moins 1 équipement connecté, couverture &lt; 30 %</t>
  </si>
  <si>
    <t>Schéma réseau partiel, liste des équipements</t>
  </si>
  <si>
    <t>Couverture ≥ 30 % des équipements</t>
  </si>
  <si>
    <t>Estimer la couverture depuis les schémas réseau disponibles</t>
  </si>
  <si>
    <t>Atteindre ≥ 50 % de couverture avec un réseau structuré</t>
  </si>
  <si>
    <t>Entre 30 % et 69 % des équipements critiques sont connectés à un réseau industriel OT structuré. L'architecture réseau est partiellement documentée.</t>
  </si>
  <si>
    <t>Couverture réseau OT entre 30 % et 69 % des équipements critiques</t>
  </si>
  <si>
    <t>Schéma réseau OT partiel, liste équipements connectés</t>
  </si>
  <si>
    <t>Couverture &lt; 30 % ou réseau non documenté</t>
  </si>
  <si>
    <t>Exiger un schéma réseau actualisé</t>
  </si>
  <si>
    <t>Atteindre ≥ 70 % de couverture avec documentation complète</t>
  </si>
  <si>
    <t>Entre 70 % et 89 % des équipements critiques sont connectés. L'architecture réseau OT est documentée et maintenue à jour. Un outil NMS supervise le réseau.</t>
  </si>
  <si>
    <t>Couverture réseau OT 70 %-89 %, NMS actif, architecture documentée</t>
  </si>
  <si>
    <t>Architecture réseau à jour, NMS opérationnel, couverture ≥ 70 %</t>
  </si>
  <si>
    <t>Couverture &lt; 70 % ou NMS absent</t>
  </si>
  <si>
    <t>Vérifier la date de mise à jour de l'architecture réseau</t>
  </si>
  <si>
    <t>Atteindre ≥ 90 % de couverture avec redondance sur chemins critiques</t>
  </si>
  <si>
    <t>90 % ou plus des équipements critiques sont connectés. La redondance est déployée sur les chemins critiques. Les incidents réseau sont détectés automatiquement.</t>
  </si>
  <si>
    <t>Couverture ≥ 90 %, redondance documentée et testée sur chemins critiques</t>
  </si>
  <si>
    <t>Architecture complète, tests de bascule documentés, alertes automatiques</t>
  </si>
  <si>
    <t>Couverture &lt; 90 % ou redondance non testée</t>
  </si>
  <si>
    <t>Demander les comptes-rendus de tests de bascule</t>
  </si>
  <si>
    <t>Déployer une gestion prédictive de la capacité réseau</t>
  </si>
  <si>
    <t>100 % des équipements critiques connectés. Architecture réseau définie logiciellement (SDN ou équivalent). Aucune interruption non planifiée sur 12 mois. Capacity planning prédictif actif.</t>
  </si>
  <si>
    <t>Couverture 100 %, zéro interruption non planifiée sur 12 mois, capacity planning</t>
  </si>
  <si>
    <t>Historique d'incidents réseau, rapport capacity planning, architecture SDN</t>
  </si>
  <si>
    <t>Toute interruption non planifiée dans l'année écoulée</t>
  </si>
  <si>
    <t>Examiner le journal des incidents réseau sur 12 mois</t>
  </si>
  <si>
    <t>Niveau d'excellence - maintenir et améliorer</t>
  </si>
  <si>
    <t>Les chemins réseau critiques OT bénéficient-ils d'une redondance testée ?</t>
  </si>
  <si>
    <t>Aucun chemin réseau redondant. Un seul câble ou switch relie les contrôleurs à la salle de contrôle. Toute défaillance de liaison entraîne une perte totale de supervision.</t>
  </si>
  <si>
    <t>Absence de toute redondance</t>
  </si>
  <si>
    <t>Schéma réseau confirmant l'absence de redondance</t>
  </si>
  <si>
    <t>Présence d'un second chemin, même non documenté</t>
  </si>
  <si>
    <t>Vérifier les schémas synoptiques réseau</t>
  </si>
  <si>
    <t>Documenter les chemins critiques et planifier leur redondance</t>
  </si>
  <si>
    <t>Une redondance partielle existe sur certains tronçons, mais elle n'est pas documentée, testée ni gérée formellement.</t>
  </si>
  <si>
    <t>Redondance partielle non documentée</t>
  </si>
  <si>
    <t>Observation terrain, traces de câbles secondaires</t>
  </si>
  <si>
    <t>Redondance documentée ou testée</t>
  </si>
  <si>
    <t>Inspecter physiquement l'infrastructure réseau</t>
  </si>
  <si>
    <t>Documenter les chemins redondants existants</t>
  </si>
  <si>
    <t>La redondance est déployée sur au moins un chemin critique et est documentée dans l'architecture réseau. Non testée formellement.</t>
  </si>
  <si>
    <t>Redondance documentée sur ≥ 1 chemin critique</t>
  </si>
  <si>
    <t>Architecture réseau mentionnant la redondance</t>
  </si>
  <si>
    <t>Redondance non documentée ou non vérifiable</t>
  </si>
  <si>
    <t>Croiser schéma réseau et inspection terrain</t>
  </si>
  <si>
    <t>Tester la bascule et formaliser la procédure</t>
  </si>
  <si>
    <t>La redondance couvre tous les chemins critiques (contrôleurs ↔ salle de contrôle). Elle est documentée et des tests de bascule ont été réalisés.</t>
  </si>
  <si>
    <t>Redondance sur 100 % chemins critiques, tests de bascule documentés</t>
  </si>
  <si>
    <t>Architecture réseau complète, compte-rendu test de bascule</t>
  </si>
  <si>
    <t>Chemins critiques sans redondance ou test jamais réalisé</t>
  </si>
  <si>
    <t>Exiger le dernier compte-rendu de test</t>
  </si>
  <si>
    <t>Automatiser la bascule et mesurer le temps de récupération</t>
  </si>
  <si>
    <t>La bascule est automatique sur défaillance. Le temps de récupération (RTO) est mesuré et inférieur à un seuil documenté. Des tests réguliers sont planifiés.</t>
  </si>
  <si>
    <t>Bascule automatique, RTO mesuré &lt; seuil défini, tests planifiés annuellement</t>
  </si>
  <si>
    <t>Logs de bascule automatique, rapports de tests, SLA réseau</t>
  </si>
  <si>
    <t>RTO non mesuré ou bascule manuelle</t>
  </si>
  <si>
    <t>Tester en direct la bascule automatique</t>
  </si>
  <si>
    <t>Déployer une supervision prédictive des liaisons réseau</t>
  </si>
  <si>
    <t>Architecture réseau résiliente par conception (multi-chemins, SLA ≥ 99,99 %). Zéro interruption liée à une défaillance réseau sur 12 mois. Auto-guérison documentée.</t>
  </si>
  <si>
    <t>Zéro interruption réseau non planifiée sur 12 mois, SLA ≥ 99,99 %</t>
  </si>
  <si>
    <t>Journal des incidents réseau vierge sur 12 mois, architecture multi-chemins</t>
  </si>
  <si>
    <t>Toute interruption réseau dans l'année</t>
  </si>
  <si>
    <t>Examiner le journal d'incidents réseau sur 12 mois</t>
  </si>
  <si>
    <t>Niveau d'excellence</t>
  </si>
  <si>
    <t>La disponibilité réseau OT est-elle mesurée et comparée à un objectif ?</t>
  </si>
  <si>
    <t>Aucune mesure de disponibilité réseau. Les incidents sont découverts par les opérateurs lors de pertes de supervision.</t>
  </si>
  <si>
    <t>Aucune mesure de disponibilité</t>
  </si>
  <si>
    <t>Absence d'outil NMS ou de rapports</t>
  </si>
  <si>
    <t>Présence d'un rapport de disponibilité, même manuel</t>
  </si>
  <si>
    <t>Interroger l'administrateur réseau</t>
  </si>
  <si>
    <t>Déployer un outil NMS basique</t>
  </si>
  <si>
    <t>La disponibilité est estimée manuellement à partir des cahiers de quart. Pas d'outil automatisé.</t>
  </si>
  <si>
    <t>Estimation manuelle de disponibilité</t>
  </si>
  <si>
    <t>Cahiers de quart ou logs manuels</t>
  </si>
  <si>
    <t>Outil automatisé ou rapport structuré</t>
  </si>
  <si>
    <t>Examiner les cahiers de quart</t>
  </si>
  <si>
    <t>Déployer un outil NMS automatisé</t>
  </si>
  <si>
    <t>Un outil NMS est déployé mais la disponibilité n'est pas comparée à un objectif défini. Les données sont collectées sans analyse formelle.</t>
  </si>
  <si>
    <t>NMS déployé, données collectées, pas d'objectif de disponibilité défini</t>
  </si>
  <si>
    <t>Dashboard NMS actif, données de disponibilité collectées</t>
  </si>
  <si>
    <t>Objectif de disponibilité défini et suivi</t>
  </si>
  <si>
    <t>Accéder au dashboard NMS</t>
  </si>
  <si>
    <t>Définir un objectif de disponibilité (SLA) et le mesurer</t>
  </si>
  <si>
    <t>La disponibilité réseau OT est mesurée automatiquement par le NMS et comparée à un objectif documenté (ex : ≥ 99 %). Un rapport périodique est produit.</t>
  </si>
  <si>
    <t>Disponibilité mesurée automatiquement, objectif défini ≥ 99 %, rapport mensuel</t>
  </si>
  <si>
    <t>Rapport NMS mensuel, paramètre SLA configuré</t>
  </si>
  <si>
    <t>Objectif non défini ou rapport absent</t>
  </si>
  <si>
    <t>Consulter le dernier rapport NMS</t>
  </si>
  <si>
    <t>Déclencher des alertes automatiques si disponibilité &lt; seuil</t>
  </si>
  <si>
    <t>Des alertes automatiques sont déclenchées si la disponibilité descend sous le seuil. Les incidents sont corrélés et des actions préventives sont déclenchées automatiquement.</t>
  </si>
  <si>
    <t>Alertes automatiques, corrélation incidents, actions préventives déclenchées</t>
  </si>
  <si>
    <t>Logs d'alertes, procédure de réponse automatique</t>
  </si>
  <si>
    <t>Alertes non configurées ou non testées</t>
  </si>
  <si>
    <t>Tester une alerte de disponibilité en direct</t>
  </si>
  <si>
    <t>La disponibilité réseau ≥ 99,9 % sur 12 mois consécutifs. La capacité est gérée de manière prédictive. Aucun incident non anticipé.</t>
  </si>
  <si>
    <t>Disponibilité ≥ 99,9 % sur 12 mois, zéro incident non anticipé</t>
  </si>
  <si>
    <t>Rapport annuel de disponibilité, modèle prédictif de capacité</t>
  </si>
  <si>
    <t>Disponibilité &lt; 99,9 % sur 12 mois</t>
  </si>
  <si>
    <t>Analyser le rapport annuel de disponibilité</t>
  </si>
  <si>
    <t>Les serveurs OT sont-ils déployés sur une infrastructure virtualisée ?</t>
  </si>
  <si>
    <t>Tous les serveurs OT sont des serveurs physiques dédiés. Aucune virtualisation n'est déployée.</t>
  </si>
  <si>
    <t>Absence totale de virtualisation</t>
  </si>
  <si>
    <t>Inventaire serveurs physiques uniquement</t>
  </si>
  <si>
    <t>Présence d'un hyperviseur ou d'une VM</t>
  </si>
  <si>
    <t>Inventorier les serveurs en salle informatique</t>
  </si>
  <si>
    <t>Planifier la migration vers la virtualisation</t>
  </si>
  <si>
    <t>Une tentative de virtualisation a été réalisée sur un serveur non critique (test, développement). Les serveurs de production restent physiques.</t>
  </si>
  <si>
    <t>Virtualisation sur ≥ 1 serveur non critique</t>
  </si>
  <si>
    <t>Rapport d'installation hyperviseur sur serveur non-prod</t>
  </si>
  <si>
    <t>Virtualisation sur serveurs de production</t>
  </si>
  <si>
    <t>Vérifier l'usage des VMs existantes</t>
  </si>
  <si>
    <t>Déployer la virtualisation sur un serveur de production non critique</t>
  </si>
  <si>
    <t>La virtualisation est déployée sur certains serveurs OT de production (ex : historian, SCADA). Au moins 30 % des services OT sont virtualisés.</t>
  </si>
  <si>
    <t>Virtualisation sur ≥ 30 % des serveurs OT de production</t>
  </si>
  <si>
    <t>Configuration hyperviseur, liste des VMs en production</t>
  </si>
  <si>
    <t>Couverture &lt; 30 % ou virtualisation uniquement hors production</t>
  </si>
  <si>
    <t>Accéder à la console d'administration de l'hyperviseur</t>
  </si>
  <si>
    <t>Atteindre ≥ 60 % des services virtualisés</t>
  </si>
  <si>
    <t>La majorité des serveurs OT de production (≥ 60 %) sont virtualisés. La configuration est documentée. La gestion des VMs est centralisée.</t>
  </si>
  <si>
    <t>Virtualisation ≥ 60 % serveurs OT production, gestion centralisée</t>
  </si>
  <si>
    <t>Documentation hyperviseur, liste des VMs, console centralisée</t>
  </si>
  <si>
    <t>Moins de 60 % virtualisé ou gestion non centralisée</t>
  </si>
  <si>
    <t>Accéder à la console centralisée de gestion des VMs</t>
  </si>
  <si>
    <t>Virtualiser 100 % des serveurs OT non contraints par des DRM</t>
  </si>
  <si>
    <t>100 % des serveurs OT sont virtualisés (sauf contraintes constructeur documentées). La haute disponibilité (HA) est configurée pour les VMs critiques. Des sauvegardes automatisées sont en place.</t>
  </si>
  <si>
    <t>100 % virtualisation (hors contraintes documentées), HA configurée, sauvegardes auto</t>
  </si>
  <si>
    <t>Configuration HA, politique de sauvegarde, inventaire complet VMs</t>
  </si>
  <si>
    <t>VM critique sans HA ou sauvegarde non configurée</t>
  </si>
  <si>
    <t>Tester la procédure de restauration d'une VM critique</t>
  </si>
  <si>
    <t>Déployer l'orchestration et la migration à chaud</t>
  </si>
  <si>
    <t>Infrastructure virtualisée avec orchestration (vMotion ou équivalent). Migration à chaud des VMs sans interruption. Provisionnement automatique à la demande. Zéro interruption de service liée à un serveur sur 12 mois.</t>
  </si>
  <si>
    <t>Orchestration complète, migration à chaud, zéro interruption service sur 12 mois</t>
  </si>
  <si>
    <t>Logs de migration à chaud, rapport disponibilité services, configuration orchestration</t>
  </si>
  <si>
    <t>Toute interruption de service liée à un serveur dans l'année</t>
  </si>
  <si>
    <t>Examiner les logs de migration à chaud</t>
  </si>
  <si>
    <t>Les serveurs OT disposent-ils d'une capacité de réserve ≥ 30 % ?</t>
  </si>
  <si>
    <t>Serveurs à saturation. Aucune capacité de réserve. Les équipes signalent des ralentissements fréquents.</t>
  </si>
  <si>
    <t>Saturation des ressources serveurs</t>
  </si>
  <si>
    <t>Rapports utilisation CPU/RAM/stockage &gt; 90 %</t>
  </si>
  <si>
    <t>Capacité de réserve mesurable</t>
  </si>
  <si>
    <t>Extraire les métriques d'utilisation des ressources</t>
  </si>
  <si>
    <t>Migrer vers une infrastructure avec capacité de réserve</t>
  </si>
  <si>
    <t>Une capacité de réserve existe mais n'est pas mesurée. Le dimensionnement des serveurs est empirique.</t>
  </si>
  <si>
    <t>Capacité de réserve présente mais non mesurée</t>
  </si>
  <si>
    <t>Estimation visuelle ou déclarative</t>
  </si>
  <si>
    <t>Rapport de capacité documenté</t>
  </si>
  <si>
    <t>Interroger l'administrateur sur les ressources disponibles</t>
  </si>
  <si>
    <t>Mesurer et documenter la capacité de réserve actuelle</t>
  </si>
  <si>
    <t>La capacité de réserve est mesurée ponctuellement. Les ressources disponibles (CPU, RAM, stockage) sont connues mais pas gérées activement.</t>
  </si>
  <si>
    <t>Capacité de réserve mesurée, entre 10 % et 29 %</t>
  </si>
  <si>
    <t>Rapports utilisation serveurs, mesure ponctuelle</t>
  </si>
  <si>
    <t>Réserve &lt; 10 % ou réserve ≥ 30 % documentée</t>
  </si>
  <si>
    <t>Extraire les métriques d'utilisation actuelles</t>
  </si>
  <si>
    <t>Atteindre et documenter ≥ 30 % de réserve</t>
  </si>
  <si>
    <t>La capacité de réserve est ≥ 30 % sur CPU, RAM et stockage, conforme aux exigences documentées. La mesure est automatisée et reportée périodiquement.</t>
  </si>
  <si>
    <t>Réserve ≥ 30 % documentée et mesurée automatiquement sur tous les axes</t>
  </si>
  <si>
    <t>Rapport de capacité mensuel, métriques automatiques ≥ 30 %</t>
  </si>
  <si>
    <t>Réserve &lt; 30 % sur l'un des axes</t>
  </si>
  <si>
    <t>Vérifier les métriques automatiques les plus récentes</t>
  </si>
  <si>
    <t>Déployer un plan de capacité prévisionnel</t>
  </si>
  <si>
    <t>Un plan de capacité prévisionnel est actif. Des alertes sont déclenchées si la réserve descend sous 30 %. Les extensions de capacité sont planifiées avant saturation.</t>
  </si>
  <si>
    <t>Plan de capacité prévisionnel, alertes configurées, extensions planifiées</t>
  </si>
  <si>
    <t>Plan de capacité formalisé, historique alertes, planification extensions</t>
  </si>
  <si>
    <t>Alerte de capacité non configurée ou plan absent</t>
  </si>
  <si>
    <t>Consulter le plan de capacité et les alertes configurées</t>
  </si>
  <si>
    <t>Déployer une gestion prédictive de la capacité</t>
  </si>
  <si>
    <t>Gestion prédictive de la capacité avec modèles de consommation. Provisionnement automatique à la demande. Aucun incident de saturation sur 12 mois.</t>
  </si>
  <si>
    <t>Gestion prédictive, provisionnement auto, zéro incident saturation sur 12 mois</t>
  </si>
  <si>
    <t>Modèles de prédiction, logs provisionnement auto, historique incidents</t>
  </si>
  <si>
    <t>Tout incident de saturation dans l'année</t>
  </si>
  <si>
    <t>Examiner le journal des incidents de capacité</t>
  </si>
  <si>
    <t>Un DRP OT est-il documenté, approuvé et testé ?</t>
  </si>
  <si>
    <t>Aucun plan de reprise d'activité. En cas de panne majeure, la procédure de récupération est improvisée.</t>
  </si>
  <si>
    <t>Absence totale de DRP</t>
  </si>
  <si>
    <t>Déclaration de l'administrateur, absence de document</t>
  </si>
  <si>
    <t>Existence d'une note ou procédure informelle</t>
  </si>
  <si>
    <t>Demander la documentation de reprise</t>
  </si>
  <si>
    <t>Rédiger un DRP minimal documentant les actions de récupération</t>
  </si>
  <si>
    <t>Des notes informelles ou procédures verbales décrivent les actions en cas de panne. Aucun document formalisé approuvé.</t>
  </si>
  <si>
    <t>Procédure informelle non approuvée</t>
  </si>
  <si>
    <t>Notes informelles ou email de procédure</t>
  </si>
  <si>
    <t>DRP formalisé et approuvé</t>
  </si>
  <si>
    <t>Demander à voir les documents informels</t>
  </si>
  <si>
    <t>Formaliser les procédures en un DRP documenté et approuvé</t>
  </si>
  <si>
    <t>Un DRP est documenté et approuvé pour les systèmes OT critiques. Il n'a pas encore été testé.</t>
  </si>
  <si>
    <t>DRP documenté et approuvé, non testé</t>
  </si>
  <si>
    <t>Document DRP avec signature d'approbation</t>
  </si>
  <si>
    <t>DRP non approuvé ou absent</t>
  </si>
  <si>
    <t>Vérifier la date d'approbation et le périmètre</t>
  </si>
  <si>
    <t>Planifier un premier test du DRP</t>
  </si>
  <si>
    <t>Le DRP est documenté, approuvé et a été testé au moins une fois. Le compte-rendu du test est disponible et les lacunes ont été corrigées.</t>
  </si>
  <si>
    <t>DRP documenté, approuvé, testé avec compte-rendu</t>
  </si>
  <si>
    <t>DRP approuvé, compte-rendu de test, corrections documentées</t>
  </si>
  <si>
    <t>Test non réalisé ou lacunes non corrigées</t>
  </si>
  <si>
    <t>Consulter le compte-rendu du dernier test</t>
  </si>
  <si>
    <t>Planifier des tests annuels et mesurer le RTO/RPO</t>
  </si>
  <si>
    <t>Le DRP est testé annuellement. Le RTO (Recovery Time Objective) et le RPO (Recovery Point Objective) sont définis, mesurés lors des tests et conformes aux objectifs.</t>
  </si>
  <si>
    <t>DRP testé annuellement, RTO et RPO mesurés et conformes</t>
  </si>
  <si>
    <t>Rapport de test annuel, RTO/RPO mesurés vs objectifs</t>
  </si>
  <si>
    <t>RTO/RPO non définis ou non mesurés lors des tests</t>
  </si>
  <si>
    <t>Vérifier les métriques RTO/RPO du dernier test</t>
  </si>
  <si>
    <t>Automatiser les sauvegardes et tester la restauration automatique</t>
  </si>
  <si>
    <t>Reprise automatisée testée avec succès. RTO &lt; 1 heure sur les systèmes critiques. Les sauvegardes sont automatiques, chiffrées et stockées hors site. Zéro perte de données sur 12 mois.</t>
  </si>
  <si>
    <t>Reprise automatisée, RTO &lt; 1h, sauvegardes auto chiffrées hors site, zéro perte données</t>
  </si>
  <si>
    <t>Rapport RTO &lt; 1h, configuration sauvegarde hors site, zéro incident de perte</t>
  </si>
  <si>
    <t>RTO ≥ 1h ou perte de données dans l'année</t>
  </si>
  <si>
    <t>Tester une restauration complète chronométrée</t>
  </si>
  <si>
    <t>Les échanges inter-équipements utilisent-ils des protocoles normalisés ?</t>
  </si>
  <si>
    <t>Aucun élément observable relatif à protocoles industriels. Situation entièrement manuelle ou analogique.</t>
  </si>
  <si>
    <t>Absence totale de protocoles industriels</t>
  </si>
  <si>
    <t>Relevé terrain ou déclaration</t>
  </si>
  <si>
    <t>Toute trace de protocoles normalisés partiels</t>
  </si>
  <si>
    <t>Confirmer l'absence par observation terrain et entretien</t>
  </si>
  <si>
    <t>Mettre en place protocoles normalisés partiels de base</t>
  </si>
  <si>
    <t>protocoles normalisés partiels existe de manière informelle ou isolée, sans standardisation ni documentation formelle.</t>
  </si>
  <si>
    <t>Au moins une instance de protocoles normalisés partiels</t>
  </si>
  <si>
    <t>Observation ou déclaration d'un responsable</t>
  </si>
  <si>
    <t>Documentation ou couverture ≥ 30 %</t>
  </si>
  <si>
    <t>Vérifier l'existence et l'étendue réelle</t>
  </si>
  <si>
    <t>Documenter et étendre protocoles normalisés partiels</t>
  </si>
  <si>
    <t>protocoles normalisés sur ≥ 50 % interfaces est en place sur au moins 50 % du périmètre concerné. Documentation partielle disponible.</t>
  </si>
  <si>
    <t>protocoles normalisés sur ≥ 50 % interfaces couvrant ≥ 50 % du périmètre</t>
  </si>
  <si>
    <t>Documentation partielle, observation directe</t>
  </si>
  <si>
    <t>Couverture &lt; 50 % ou documentation absente</t>
  </si>
  <si>
    <t>Mesurer la couverture réelle sur le périmètre</t>
  </si>
  <si>
    <t>Atteindre couverture complète et documentation exhaustive</t>
  </si>
  <si>
    <t>protocoles normalisés complets documentés couvre l'ensemble du périmètre et est documenté, approuvé et opérationnel.</t>
  </si>
  <si>
    <t>protocoles normalisés complets documentés complet, documenté, approuvé</t>
  </si>
  <si>
    <t>Documentation complète, validation managériale</t>
  </si>
  <si>
    <t>Couverture &lt; 90 % ou approbation manquante</t>
  </si>
  <si>
    <t>Vérifier la documentation et son niveau d'approbation</t>
  </si>
  <si>
    <t>Mesurer les performances et optimiser</t>
  </si>
  <si>
    <t>protocoles normalisés mesurés et optimisés est mesuré, les résultats sont comparés à des objectifs et des actions d'amélioration sont documentées.</t>
  </si>
  <si>
    <t>protocoles normalisés mesurés et optimisés mesuré et amélioré activement</t>
  </si>
  <si>
    <t>Rapports de performance, actions correctives tracées</t>
  </si>
  <si>
    <t>Absence de mesure ou d'objectif défini</t>
  </si>
  <si>
    <t>Consulter les rapports de performance les plus récents</t>
  </si>
  <si>
    <t>Déployer une approche prédictive ou automatisée</t>
  </si>
  <si>
    <t>interopérabilité totale certifiée est pleinement optimisé, automatisé et s'améliore en continu. Les résultats dépassent les objectifs sur 12 mois.</t>
  </si>
  <si>
    <t>interopérabilité totale certifiée excellence, amélioration continue documentée</t>
  </si>
  <si>
    <t>Rapport annuel de performance, historique d'amélioration</t>
  </si>
  <si>
    <t>Régression ou stagnation sur les indicateurs</t>
  </si>
  <si>
    <t>Examiner les tendances sur 12 mois</t>
  </si>
  <si>
    <t>Niveau d'excellence - maintenir et partager les bonnes pratiques</t>
  </si>
  <si>
    <t>Un serveur OPC UA est-il déployé et opérationnel ?</t>
  </si>
  <si>
    <t>Aucun élément observable relatif à OPC UA. Situation entièrement manuelle ou analogique.</t>
  </si>
  <si>
    <t>Absence totale de OPC UA</t>
  </si>
  <si>
    <t>Toute trace de OPC UA en test</t>
  </si>
  <si>
    <t>Mettre en place OPC UA en test de base</t>
  </si>
  <si>
    <t>OPC UA en test existe de manière informelle ou isolée, sans standardisation ni documentation formelle.</t>
  </si>
  <si>
    <t>Au moins une instance de OPC UA en test</t>
  </si>
  <si>
    <t>Documenter et étendre OPC UA en test</t>
  </si>
  <si>
    <t>OPC UA sur ≥ 1 interface critique est en place sur au moins 50 % du périmètre concerné. Documentation partielle disponible.</t>
  </si>
  <si>
    <t>OPC UA sur ≥ 1 interface critique couvrant ≥ 50 % du périmètre</t>
  </si>
  <si>
    <t>OPC UA Server opérationnel sur périmètre complet couvre l'ensemble du périmètre et est documenté, approuvé et opérationnel.</t>
  </si>
  <si>
    <t>OPC UA Server opérationnel sur périmètre complet complet, documenté, approuvé</t>
  </si>
  <si>
    <t>OPC UA monitoré et optimisé est mesuré, les résultats sont comparés à des objectifs et des actions d'amélioration sont documentées.</t>
  </si>
  <si>
    <t>OPC UA monitoré et optimisé mesuré et amélioré activement</t>
  </si>
  <si>
    <t>OPC UA excellence et intégration cloud est pleinement optimisé, automatisé et s'améliore en continu. Les résultats dépassent les objectifs sur 12 mois.</t>
  </si>
  <si>
    <t>OPC UA excellence et intégration cloud excellence, amélioration continue documentée</t>
  </si>
  <si>
    <t>Toutes les interfaces inter-systèmes sont-elles documentées ?</t>
  </si>
  <si>
    <t>Aucun élément observable relatif à documentation interfaces. Situation entièrement manuelle ou analogique.</t>
  </si>
  <si>
    <t>Absence totale de documentation interfaces</t>
  </si>
  <si>
    <t>Toute trace de documentation informelle</t>
  </si>
  <si>
    <t>Mettre en place documentation informelle de base</t>
  </si>
  <si>
    <t>documentation informelle existe de manière informelle ou isolée, sans standardisation ni documentation formelle.</t>
  </si>
  <si>
    <t>Au moins une instance de documentation informelle</t>
  </si>
  <si>
    <t>Documenter et étendre documentation informelle</t>
  </si>
  <si>
    <t>documentation partielle 50 % est en place sur au moins 50 % du périmètre concerné. Documentation partielle disponible.</t>
  </si>
  <si>
    <t>documentation partielle 50 % couvrant ≥ 50 % du périmètre</t>
  </si>
  <si>
    <t>documentation complète approuvée couvre l'ensemble du périmètre et est documenté, approuvé et opérationnel.</t>
  </si>
  <si>
    <t>documentation complète approuvée complet, documenté, approuvé</t>
  </si>
  <si>
    <t>documentation maintenue et versionnée est mesuré, les résultats sont comparés à des objectifs et des actions d'amélioration sont documentées.</t>
  </si>
  <si>
    <t>documentation maintenue et versionnée mesuré et amélioré activement</t>
  </si>
  <si>
    <t>documentation auto-générée et synchronisée est pleinement optimisé, automatisé et s'améliore en continu. Les résultats dépassent les objectifs sur 12 mois.</t>
  </si>
  <si>
    <t>documentation auto-générée et synchronisée excellence, amélioration continue documentée</t>
  </si>
  <si>
    <t>Les données OT remontent-elles automatiquement vers les systèmes IT ?</t>
  </si>
  <si>
    <t>Aucun élément observable relatif à intégration OT/IT. Situation entièrement manuelle ou analogique.</t>
  </si>
  <si>
    <t>Absence totale de intégration OT/IT</t>
  </si>
  <si>
    <t>Toute trace de échanges manuels partiels</t>
  </si>
  <si>
    <t>Mettre en place échanges manuels partiels de base</t>
  </si>
  <si>
    <t>échanges manuels partiels existe de manière informelle ou isolée, sans standardisation ni documentation formelle.</t>
  </si>
  <si>
    <t>Au moins une instance de échanges manuels partiels</t>
  </si>
  <si>
    <t>Documenter et étendre échanges manuels partiels</t>
  </si>
  <si>
    <t>intégration unidirectionnelle partielle est en place sur au moins 50 % du périmètre concerné. Documentation partielle disponible.</t>
  </si>
  <si>
    <t>intégration unidirectionnelle partielle couvrant ≥ 50 % du périmètre</t>
  </si>
  <si>
    <t>intégration bidirectionnelle complète couvre l'ensemble du périmètre et est documenté, approuvé et opérationnel.</t>
  </si>
  <si>
    <t>intégration bidirectionnelle complète complet, documenté, approuvé</t>
  </si>
  <si>
    <t>intégration monitorée avec SLA est mesuré, les résultats sont comparés à des objectifs et des actions d'amélioration sont documentées.</t>
  </si>
  <si>
    <t>intégration monitorée avec SLA mesuré et amélioré activement</t>
  </si>
  <si>
    <t>intégration intelligente auto-adaptative est pleinement optimisé, automatisé et s'améliore en continu. Les résultats dépassent les objectifs sur 12 mois.</t>
  </si>
  <si>
    <t>intégration intelligente auto-adaptative excellence, amélioration continue documentée</t>
  </si>
  <si>
    <t>Les flux OT/IT sont-ils supervisés avec alertes automatiques ?</t>
  </si>
  <si>
    <t>Aucun élément observable relatif à monitoring flux OT/IT. Situation entièrement manuelle ou analogique.</t>
  </si>
  <si>
    <t>Absence totale de monitoring flux OT/IT</t>
  </si>
  <si>
    <t>Toute trace de monitoring manuel</t>
  </si>
  <si>
    <t>Mettre en place monitoring manuel de base</t>
  </si>
  <si>
    <t>monitoring manuel existe de manière informelle ou isolée, sans standardisation ni documentation formelle.</t>
  </si>
  <si>
    <t>Au moins une instance de monitoring manuel</t>
  </si>
  <si>
    <t>Documenter et étendre monitoring manuel</t>
  </si>
  <si>
    <t>monitoring partiel sans alertes est en place sur au moins 50 % du périmètre concerné. Documentation partielle disponible.</t>
  </si>
  <si>
    <t>monitoring partiel sans alertes couvrant ≥ 50 % du périmètre</t>
  </si>
  <si>
    <t>monitoring complet avec alertes couvre l'ensemble du périmètre et est documenté, approuvé et opérationnel.</t>
  </si>
  <si>
    <t>monitoring complet avec alertes complet, documenté, approuvé</t>
  </si>
  <si>
    <t>monitoring avec corrélation d'événements est mesuré, les résultats sont comparés à des objectifs et des actions d'amélioration sont documentées.</t>
  </si>
  <si>
    <t>monitoring avec corrélation d'événements mesuré et amélioré activement</t>
  </si>
  <si>
    <t>monitoring prédictif auto-réparateur est pleinement optimisé, automatisé et s'améliore en continu. Les résultats dépassent les objectifs sur 12 mois.</t>
  </si>
  <si>
    <t>monitoring prédictif auto-réparateur excellence, amélioration continue documentée</t>
  </si>
  <si>
    <t>La latence OT/IT est-elle mesurée et comparée à des SLA ?</t>
  </si>
  <si>
    <t>Aucun élément observable relatif à latence et SLA échanges. Situation entièrement manuelle ou analogique.</t>
  </si>
  <si>
    <t>Absence totale de latence et SLA échanges</t>
  </si>
  <si>
    <t>Toute trace de mesure ponctuelle</t>
  </si>
  <si>
    <t>Mettre en place mesure ponctuelle de base</t>
  </si>
  <si>
    <t>mesure ponctuelle existe de manière informelle ou isolée, sans standardisation ni documentation formelle.</t>
  </si>
  <si>
    <t>Au moins une instance de mesure ponctuelle</t>
  </si>
  <si>
    <t>Documenter et étendre mesure ponctuelle</t>
  </si>
  <si>
    <t>mesure régulière sans objectif est en place sur au moins 50 % du périmètre concerné. Documentation partielle disponible.</t>
  </si>
  <si>
    <t>mesure régulière sans objectif couvrant ≥ 50 % du périmètre</t>
  </si>
  <si>
    <t>latence mesurée vs SLA défini couvre l'ensemble du périmètre et est documenté, approuvé et opérationnel.</t>
  </si>
  <si>
    <t>latence mesurée vs SLA défini complet, documenté, approuvé</t>
  </si>
  <si>
    <t>SLA respecté avec alertes automatiques est mesuré, les résultats sont comparés à des objectifs et des actions d'amélioration sont documentées.</t>
  </si>
  <si>
    <t>SLA respecté avec alertes automatiques mesuré et amélioré activement</t>
  </si>
  <si>
    <t>latence optimisée en continu sous 10 ms est pleinement optimisé, automatisé et s'améliore en continu. Les résultats dépassent les objectifs sur 12 mois.</t>
  </si>
  <si>
    <t>latence optimisée en continu sous 10 ms excellence, amélioration continue documentée</t>
  </si>
  <si>
    <t>% boucles critiques pilotées par DCS/PLC ?</t>
  </si>
  <si>
    <t>Aucun élément observable relatif à couverture DCS/PLC. Situation entièrement manuelle ou analogique.</t>
  </si>
  <si>
    <t>Absence totale de couverture DCS/PLC</t>
  </si>
  <si>
    <t>Toute trace de PLC isolés &lt; 30 %</t>
  </si>
  <si>
    <t>Mettre en place PLC isolés &lt; 30 % de base</t>
  </si>
  <si>
    <t>PLC isolés &lt; 30 % existe de manière informelle ou isolée, sans standardisation ni documentation formelle.</t>
  </si>
  <si>
    <t>Au moins une instance de PLC isolés &lt; 30 %</t>
  </si>
  <si>
    <t>Documenter et étendre PLC isolés &lt; 30 %</t>
  </si>
  <si>
    <t>DCS/PLC sur 30-59 % boucles est en place sur au moins 50 % du périmètre concerné. Documentation partielle disponible.</t>
  </si>
  <si>
    <t>DCS/PLC sur 30-59 % boucles couvrant ≥ 50 % du périmètre</t>
  </si>
  <si>
    <t>DCS couvrant ≥ 80 % boucles critiques couvre l'ensemble du périmètre et est documenté, approuvé et opérationnel.</t>
  </si>
  <si>
    <t>DCS couvrant ≥ 80 % boucles critiques complet, documenté, approuvé</t>
  </si>
  <si>
    <t>DCS 100 % + APC déployé est mesuré, les résultats sont comparés à des objectifs et des actions d'amélioration sont documentées.</t>
  </si>
  <si>
    <t>DCS 100 % + APC déployé mesuré et amélioré activement</t>
  </si>
  <si>
    <t>DCS avec contrôle adaptatif autonome est pleinement optimisé, automatisé et s'améliore en continu. Les résultats dépassent les objectifs sur 12 mois.</t>
  </si>
  <si>
    <t>DCS avec contrôle adaptatif autonome excellence, amélioration continue documentée</t>
  </si>
  <si>
    <t>La configuration DCS est-elle documentée et maintenue à jour ?</t>
  </si>
  <si>
    <t>Aucun élément observable relatif à documentation DCS. Situation entièrement manuelle ou analogique.</t>
  </si>
  <si>
    <t>Absence totale de documentation DCS</t>
  </si>
  <si>
    <t>Toute trace de notes informelles DCS</t>
  </si>
  <si>
    <t>Mettre en place notes informelles DCS de base</t>
  </si>
  <si>
    <t>notes informelles DCS existe de manière informelle ou isolée, sans standardisation ni documentation formelle.</t>
  </si>
  <si>
    <t>Au moins une instance de notes informelles DCS</t>
  </si>
  <si>
    <t>Documenter et étendre notes informelles DCS</t>
  </si>
  <si>
    <t>documentation DCS partielle est en place sur au moins 50 % du périmètre concerné. Documentation partielle disponible.</t>
  </si>
  <si>
    <t>documentation DCS partielle couvrant ≥ 50 % du périmètre</t>
  </si>
  <si>
    <t>documentation DCS complète et approuvée couvre l'ensemble du périmètre et est documenté, approuvé et opérationnel.</t>
  </si>
  <si>
    <t>documentation DCS complète et approuvée complet, documenté, approuvé</t>
  </si>
  <si>
    <t>documentation versionnée et mise à jour automatique est mesuré, les résultats sont comparés à des objectifs et des actions d'amélioration sont documentées.</t>
  </si>
  <si>
    <t>documentation versionnée et mise à jour automatique mesuré et amélioré activement</t>
  </si>
  <si>
    <t>documentation intégrée au jumeau numérique est pleinement optimisé, automatisé et s'améliore en continu. Les résultats dépassent les objectifs sur 12 mois.</t>
  </si>
  <si>
    <t>documentation intégrée au jumeau numérique excellence, amélioration continue documentée</t>
  </si>
  <si>
    <t>Le taux d'alarmes nuisances DCS est-il mesuré et géré ?</t>
  </si>
  <si>
    <t>Aucun élément observable relatif à gestion alarmes DCS. Situation entièrement manuelle ou analogique.</t>
  </si>
  <si>
    <t>Absence totale de gestion alarmes DCS</t>
  </si>
  <si>
    <t>Toute trace de alarmes documentées sans rationalisation</t>
  </si>
  <si>
    <t>Mettre en place alarmes documentées sans rationalisation de base</t>
  </si>
  <si>
    <t>alarmes documentées sans rationalisation existe de manière informelle ou isolée, sans standardisation ni documentation formelle.</t>
  </si>
  <si>
    <t>Au moins une instance de alarmes documentées sans rationalisation</t>
  </si>
  <si>
    <t>Documenter et étendre alarmes documentées sans rationalisation</t>
  </si>
  <si>
    <t>rationalisation partielle alarmes est en place sur au moins 50 % du périmètre concerné. Documentation partielle disponible.</t>
  </si>
  <si>
    <t>rationalisation partielle alarmes couvrant ≥ 50 % du périmètre</t>
  </si>
  <si>
    <t>taux nuisances &lt; 10 % documenté couvre l'ensemble du périmètre et est documenté, approuvé et opérationnel.</t>
  </si>
  <si>
    <t>taux nuisances &lt; 10 % documenté complet, documenté, approuvé</t>
  </si>
  <si>
    <t>alarmes rationalisées et mesurées en continu est mesuré, les résultats sont comparés à des objectifs et des actions d'amélioration sont documentées.</t>
  </si>
  <si>
    <t>alarmes rationalisées et mesurées en continu mesuré et amélioré activement</t>
  </si>
  <si>
    <t>gestion alarmes prédictive et auto-optimisée est pleinement optimisé, automatisé et s'améliore en continu. Les résultats dépassent les objectifs sur 12 mois.</t>
  </si>
  <si>
    <t>gestion alarmes prédictive et auto-optimisée excellence, amélioration continue documentée</t>
  </si>
  <si>
    <t>Un MES est-il déployé et interfacé au DCS ?</t>
  </si>
  <si>
    <t>Aucun élément observable relatif à MES déployé. Situation entièrement manuelle ou analogique.</t>
  </si>
  <si>
    <t>Absence totale de MES déployé</t>
  </si>
  <si>
    <t>Toute trace de suivi production manuel partiel</t>
  </si>
  <si>
    <t>Mettre en place suivi production manuel partiel de base</t>
  </si>
  <si>
    <t>suivi production manuel partiel existe de manière informelle ou isolée, sans standardisation ni documentation formelle.</t>
  </si>
  <si>
    <t>Au moins une instance de suivi production manuel partiel</t>
  </si>
  <si>
    <t>Documenter et étendre suivi production manuel partiel</t>
  </si>
  <si>
    <t>MES en déploiement ou partiel est en place sur au moins 50 % du périmètre concerné. Documentation partielle disponible.</t>
  </si>
  <si>
    <t>MES en déploiement ou partiel couvrant ≥ 50 % du périmètre</t>
  </si>
  <si>
    <t>MES opérationnel et interfacé DCS couvre l'ensemble du périmètre et est documenté, approuvé et opérationnel.</t>
  </si>
  <si>
    <t>MES opérationnel et interfacé DCS complet, documenté, approuvé</t>
  </si>
  <si>
    <t>MES avec ordonnancement optimisé est mesuré, les résultats sont comparés à des objectifs et des actions d'amélioration sont documentées.</t>
  </si>
  <si>
    <t>MES avec ordonnancement optimisé mesuré et amélioré activement</t>
  </si>
  <si>
    <t>MES avec IA intégrée et auto-planification est pleinement optimisé, automatisé et s'améliore en continu. Les résultats dépassent les objectifs sur 12 mois.</t>
  </si>
  <si>
    <t>MES avec IA intégrée et auto-planification excellence, amélioration continue documentée</t>
  </si>
  <si>
    <t>L'ordonnancement de production est-il automatisé ?</t>
  </si>
  <si>
    <t>Aucun élément observable relatif à ordonnancement production. Situation entièrement manuelle ou analogique.</t>
  </si>
  <si>
    <t>Absence totale de ordonnancement production</t>
  </si>
  <si>
    <t>Toute trace de outil basique semi-manuel</t>
  </si>
  <si>
    <t>Mettre en place outil basique semi-manuel de base</t>
  </si>
  <si>
    <t>outil basique semi-manuel existe de manière informelle ou isolée, sans standardisation ni documentation formelle.</t>
  </si>
  <si>
    <t>Au moins une instance de outil basique semi-manuel</t>
  </si>
  <si>
    <t>Documenter et étendre outil basique semi-manuel</t>
  </si>
  <si>
    <t>ordonnancement assisté partiel est en place sur au moins 50 % du périmètre concerné. Documentation partielle disponible.</t>
  </si>
  <si>
    <t>ordonnancement assisté partiel couvrant ≥ 50 % du périmètre</t>
  </si>
  <si>
    <t>ordonnancement automatisé sur périmètre complet couvre l'ensemble du périmètre et est documenté, approuvé et opérationnel.</t>
  </si>
  <si>
    <t>ordonnancement automatisé sur périmètre complet complet, documenté, approuvé</t>
  </si>
  <si>
    <t>ordonnancement optimisé avec contraintes multiples est mesuré, les résultats sont comparés à des objectifs et des actions d'amélioration sont documentées.</t>
  </si>
  <si>
    <t>ordonnancement optimisé avec contraintes multiples mesuré et amélioré activement</t>
  </si>
  <si>
    <t>ordonnancement autonome temps réel est pleinement optimisé, automatisé et s'améliore en continu. Les résultats dépassent les objectifs sur 12 mois.</t>
  </si>
  <si>
    <t>ordonnancement autonome temps réel excellence, amélioration continue documentée</t>
  </si>
  <si>
    <t>Les écarts planifié/réel sont-ils analysés et documentés ?</t>
  </si>
  <si>
    <t>Aucun élément observable relatif à analyse écarts planifié/réel. Situation entièrement manuelle ou analogique.</t>
  </si>
  <si>
    <t>Absence totale de analyse écarts planifié/réel</t>
  </si>
  <si>
    <t>Toute trace de analyse manuelle mensuelle</t>
  </si>
  <si>
    <t>Mettre en place analyse manuelle mensuelle de base</t>
  </si>
  <si>
    <t>analyse manuelle mensuelle existe de manière informelle ou isolée, sans standardisation ni documentation formelle.</t>
  </si>
  <si>
    <t>Au moins une instance de analyse manuelle mensuelle</t>
  </si>
  <si>
    <t>Documenter et étendre analyse manuelle mensuelle</t>
  </si>
  <si>
    <t>analyse hebdomadaire sans actions est en place sur au moins 50 % du périmètre concerné. Documentation partielle disponible.</t>
  </si>
  <si>
    <t>analyse hebdomadaire sans actions couvrant ≥ 50 % du périmètre</t>
  </si>
  <si>
    <t>analyse automatisée avec actions correctives couvre l'ensemble du périmètre et est documenté, approuvé et opérationnel.</t>
  </si>
  <si>
    <t>analyse automatisée avec actions correctives complet, documenté, approuvé</t>
  </si>
  <si>
    <t>analyse temps réel avec alertes automatiques est mesuré, les résultats sont comparés à des objectifs et des actions d'amélioration sont documentées.</t>
  </si>
  <si>
    <t>analyse temps réel avec alertes automatiques mesuré et amélioré activement</t>
  </si>
  <si>
    <t>analyse prédictive des dérives de production est pleinement optimisé, automatisé et s'améliore en continu. Les résultats dépassent les objectifs sur 12 mois.</t>
  </si>
  <si>
    <t>analyse prédictive des dérives de production excellence, amélioration continue documentée</t>
  </si>
  <si>
    <t>% équipements supervisés via SCADA centralisé ?</t>
  </si>
  <si>
    <t>Aucun élément observable relatif à couverture SCADA. Situation entièrement manuelle ou analogique.</t>
  </si>
  <si>
    <t>Absence totale de couverture SCADA</t>
  </si>
  <si>
    <t>Toute trace de SCADA partiel &lt; 30 %</t>
  </si>
  <si>
    <t>Mettre en place SCADA partiel &lt; 30 % de base</t>
  </si>
  <si>
    <t>SCADA partiel &lt; 30 % existe de manière informelle ou isolée, sans standardisation ni documentation formelle.</t>
  </si>
  <si>
    <t>Au moins une instance de SCADA partiel &lt; 30 %</t>
  </si>
  <si>
    <t>Documenter et étendre SCADA partiel &lt; 30 %</t>
  </si>
  <si>
    <t>SCADA sur 30-69 % équipements est en place sur au moins 50 % du périmètre concerné. Documentation partielle disponible.</t>
  </si>
  <si>
    <t>SCADA sur 30-69 % équipements couvrant ≥ 50 % du périmètre</t>
  </si>
  <si>
    <t>SCADA couvrant ≥ 90 % procédé couvre l'ensemble du périmètre et est documenté, approuvé et opérationnel.</t>
  </si>
  <si>
    <t>SCADA couvrant ≥ 90 % procédé complet, documenté, approuvé</t>
  </si>
  <si>
    <t>SCADA complet avec analytics intégrés est mesuré, les résultats sont comparés à des objectifs et des actions d'amélioration sont documentées.</t>
  </si>
  <si>
    <t>SCADA complet avec analytics intégrés mesuré et amélioré activement</t>
  </si>
  <si>
    <t>SCADA auto-adaptatif avec IA superviseur est pleinement optimisé, automatisé et s'améliore en continu. Les résultats dépassent les objectifs sur 12 mois.</t>
  </si>
  <si>
    <t>SCADA auto-adaptatif avec IA superviseur excellence, amélioration continue documentée</t>
  </si>
  <si>
    <t>Les HMI sont-elles standardisées selon une charte documentée ?</t>
  </si>
  <si>
    <t>Aucun élément observable relatif à standardisation HMI. Situation entièrement manuelle ou analogique.</t>
  </si>
  <si>
    <t>Absence totale de standardisation HMI</t>
  </si>
  <si>
    <t>Toute trace de charte IHM informelle</t>
  </si>
  <si>
    <t>Mettre en place charte IHM informelle de base</t>
  </si>
  <si>
    <t>charte IHM informelle existe de manière informelle ou isolée, sans standardisation ni documentation formelle.</t>
  </si>
  <si>
    <t>Au moins une instance de charte IHM informelle</t>
  </si>
  <si>
    <t>Documenter et étendre charte IHM informelle</t>
  </si>
  <si>
    <t>charte IHM partielle appliquée est en place sur au moins 50 % du périmètre concerné. Documentation partielle disponible.</t>
  </si>
  <si>
    <t>charte IHM partielle appliquée couvrant ≥ 50 % du périmètre</t>
  </si>
  <si>
    <t>charte IHM complète et appliquée à 100 % couvre l'ensemble du périmètre et est documenté, approuvé et opérationnel.</t>
  </si>
  <si>
    <t>charte IHM complète et appliquée à 100 % complet, documenté, approuvé</t>
  </si>
  <si>
    <t>IHM standardisées et auditées périodiquement est mesuré, les résultats sont comparés à des objectifs et des actions d'amélioration sont documentées.</t>
  </si>
  <si>
    <t>IHM standardisées et auditées périodiquement mesuré et amélioré activement</t>
  </si>
  <si>
    <t>IHM adaptatives selon profil opérateur est pleinement optimisé, automatisé et s'améliore en continu. Les résultats dépassent les objectifs sur 12 mois.</t>
  </si>
  <si>
    <t>IHM adaptatives selon profil opérateur excellence, amélioration continue documentée</t>
  </si>
  <si>
    <t>Le taux d'alarmes nuisances SCADA est-il géré et mesuré ?</t>
  </si>
  <si>
    <t>Aucun élément observable relatif à gestion alarmes SCADA. Situation entièrement manuelle ou analogique.</t>
  </si>
  <si>
    <t>Absence totale de gestion alarmes SCADA</t>
  </si>
  <si>
    <t>Toute trace de alarmes documentées sans KPI</t>
  </si>
  <si>
    <t>Mettre en place alarmes documentées sans KPI de base</t>
  </si>
  <si>
    <t>alarmes documentées sans KPI existe de manière informelle ou isolée, sans standardisation ni documentation formelle.</t>
  </si>
  <si>
    <t>Au moins une instance de alarmes documentées sans KPI</t>
  </si>
  <si>
    <t>Documenter et étendre alarmes documentées sans KPI</t>
  </si>
  <si>
    <t>KPI alarmes mesurés sans objectif est en place sur au moins 50 % du périmètre concerné. Documentation partielle disponible.</t>
  </si>
  <si>
    <t>KPI alarmes mesurés sans objectif couvrant ≥ 50 % du périmètre</t>
  </si>
  <si>
    <t>taux nuisances &lt; 10 % mesuré et géré couvre l'ensemble du périmètre et est documenté, approuvé et opérationnel.</t>
  </si>
  <si>
    <t>taux nuisances &lt; 10 % mesuré et géré complet, documenté, approuvé</t>
  </si>
  <si>
    <t>KPI alarmes excellents avec amélioration continue est mesuré, les résultats sont comparés à des objectifs et des actions d'amélioration sont documentées.</t>
  </si>
  <si>
    <t>KPI alarmes excellents avec amélioration continue mesuré et amélioré activement</t>
  </si>
  <si>
    <t>zéro alarme parasite sur 90 jours est pleinement optimisé, automatisé et s'améliore en continu. Les résultats dépassent les objectifs sur 12 mois.</t>
  </si>
  <si>
    <t>zéro alarme parasite sur 90 jours excellence, amélioration continue documentée</t>
  </si>
  <si>
    <t>% équipements critiques avec capteurs de condition ?</t>
  </si>
  <si>
    <t>Aucun élément observable relatif à capteurs de condition. Situation entièrement manuelle ou analogique.</t>
  </si>
  <si>
    <t>Absence totale de capteurs de condition</t>
  </si>
  <si>
    <t>Toute trace de capteurs sur &lt; 20 % équipements critiques</t>
  </si>
  <si>
    <t>Mettre en place capteurs sur &lt; 20 % équipements critiques de base</t>
  </si>
  <si>
    <t>capteurs sur &lt; 20 % équipements critiques existe de manière informelle ou isolée, sans standardisation ni documentation formelle.</t>
  </si>
  <si>
    <t>Au moins une instance de capteurs sur &lt; 20 % équipements critiques</t>
  </si>
  <si>
    <t>Documenter et étendre capteurs sur &lt; 20 % équipements critiques</t>
  </si>
  <si>
    <t>capteurs sur 20-49 % équipements critiques est en place sur au moins 50 % du périmètre concerné. Documentation partielle disponible.</t>
  </si>
  <si>
    <t>capteurs sur 20-49 % équipements critiques couvrant ≥ 50 % du périmètre</t>
  </si>
  <si>
    <t>capteurs sur ≥ 50 % équipements critiques couvre l'ensemble du périmètre et est documenté, approuvé et opérationnel.</t>
  </si>
  <si>
    <t>capteurs sur ≥ 50 % équipements critiques complet, documenté, approuvé</t>
  </si>
  <si>
    <t>capteurs sur ≥ 80 % avec CBMS actif est mesuré, les résultats sont comparés à des objectifs et des actions d'amélioration sont documentées.</t>
  </si>
  <si>
    <t>capteurs sur ≥ 80 % avec CBMS actif mesuré et amélioré activement</t>
  </si>
  <si>
    <t>capteurs 100 % avec IA prédictive est pleinement optimisé, automatisé et s'améliore en continu. Les résultats dépassent les objectifs sur 12 mois.</t>
  </si>
  <si>
    <t>capteurs 100 % avec IA prédictive excellence, amélioration continue documentée</t>
  </si>
  <si>
    <t>Un CBMS est-il opérationnel et utilisé par la maintenance ?</t>
  </si>
  <si>
    <t>Aucun élément observable relatif à CBMS opérationnel. Situation entièrement manuelle ou analogique.</t>
  </si>
  <si>
    <t>Absence totale de CBMS opérationnel</t>
  </si>
  <si>
    <t>Toute trace de CBMS en installation ou test</t>
  </si>
  <si>
    <t>Mettre en place CBMS en installation ou test de base</t>
  </si>
  <si>
    <t>CBMS en installation ou test existe de manière informelle ou isolée, sans standardisation ni documentation formelle.</t>
  </si>
  <si>
    <t>Au moins une instance de CBMS en installation ou test</t>
  </si>
  <si>
    <t>Documenter et étendre CBMS en installation ou test</t>
  </si>
  <si>
    <t>CBMS opérationnel partiellement utilisé est en place sur au moins 50 % du périmètre concerné. Documentation partielle disponible.</t>
  </si>
  <si>
    <t>CBMS opérationnel partiellement utilisé couvrant ≥ 50 % du périmètre</t>
  </si>
  <si>
    <t>CBMS opérationnel et utilisé par maintenance couvre l'ensemble du périmètre et est documenté, approuvé et opérationnel.</t>
  </si>
  <si>
    <t>CBMS opérationnel et utilisé par maintenance complet, documenté, approuvé</t>
  </si>
  <si>
    <t>CBMS avec modèles prédictifs validés est mesuré, les résultats sont comparés à des objectifs et des actions d'amélioration sont documentées.</t>
  </si>
  <si>
    <t>CBMS avec modèles prédictifs validés mesuré et amélioré activement</t>
  </si>
  <si>
    <t>CBMS auto-déclenchant les ordres de travail est pleinement optimisé, automatisé et s'améliore en continu. Les résultats dépassent les objectifs sur 12 mois.</t>
  </si>
  <si>
    <t>CBMS auto-déclenchant les ordres de travail excellence, amélioration continue documentée</t>
  </si>
  <si>
    <t>Des modèles prédictifs de défaillance sont-ils en production ?</t>
  </si>
  <si>
    <t>Aucun élément observable relatif à modèles prédictifs défaillance. Situation entièrement manuelle ou analogique.</t>
  </si>
  <si>
    <t>Absence totale de modèles prédictifs défaillance</t>
  </si>
  <si>
    <t>Toute trace de analyse vibratoire manuelle</t>
  </si>
  <si>
    <t>Mettre en place analyse vibratoire manuelle de base</t>
  </si>
  <si>
    <t>analyse vibratoire manuelle existe de manière informelle ou isolée, sans standardisation ni documentation formelle.</t>
  </si>
  <si>
    <t>Au moins une instance de analyse vibratoire manuelle</t>
  </si>
  <si>
    <t>Documenter et étendre analyse vibratoire manuelle</t>
  </si>
  <si>
    <t>seuils adaptatifs simples déployés est en place sur au moins 50 % du périmètre concerné. Documentation partielle disponible.</t>
  </si>
  <si>
    <t>seuils adaptatifs simples déployés couvrant ≥ 50 % du périmètre</t>
  </si>
  <si>
    <t>modèles ML déployés et validés en production couvre l'ensemble du périmètre et est documenté, approuvé et opérationnel.</t>
  </si>
  <si>
    <t>modèles ML déployés et validés en production complet, documenté, approuvé</t>
  </si>
  <si>
    <t>modèles ML avec arrêts évités documentés ≥ 3/an est mesuré, les résultats sont comparés à des objectifs et des actions d'amélioration sont documentées.</t>
  </si>
  <si>
    <t>modèles ML avec arrêts évités documentés ≥ 3/an mesuré et amélioré activement</t>
  </si>
  <si>
    <t>modèles prescriptifs autonomes est pleinement optimisé, automatisé et s'améliore en continu. Les résultats dépassent les objectifs sur 12 mois.</t>
  </si>
  <si>
    <t>modèles prescriptifs autonomes excellence, amélioration continue documentée</t>
  </si>
  <si>
    <t>Un historian couvre-t-il ≥ 80 % des points de mesure critiques ?</t>
  </si>
  <si>
    <t>Aucun élément observable relatif à historian industriel. Situation entièrement manuelle ou analogique.</t>
  </si>
  <si>
    <t>Absence totale de historian industriel</t>
  </si>
  <si>
    <t>Toute trace de collecte manuelle dans fichiers</t>
  </si>
  <si>
    <t>Mettre en place collecte manuelle dans fichiers de base</t>
  </si>
  <si>
    <t>collecte manuelle dans fichiers existe de manière informelle ou isolée, sans standardisation ni documentation formelle.</t>
  </si>
  <si>
    <t>Au moins une instance de collecte manuelle dans fichiers</t>
  </si>
  <si>
    <t>Documenter et étendre collecte manuelle dans fichiers</t>
  </si>
  <si>
    <t>historian sur &lt; 50 % points mesure est en place sur au moins 50 % du périmètre concerné. Documentation partielle disponible.</t>
  </si>
  <si>
    <t>historian sur &lt; 50 % points mesure couvrant ≥ 50 % du périmètre</t>
  </si>
  <si>
    <t>historian ≥ 80 % points mesure critiques couvre l'ensemble du périmètre et est documenté, approuvé et opérationnel.</t>
  </si>
  <si>
    <t>historian ≥ 80 % points mesure critiques complet, documenté, approuvé</t>
  </si>
  <si>
    <t>historian complet avec qualité mesurée est mesuré, les résultats sont comparés à des objectifs et des actions d'amélioration sont documentées.</t>
  </si>
  <si>
    <t>historian complet avec qualité mesurée mesuré et amélioré activement</t>
  </si>
  <si>
    <t>historian avec data lake et IA alimentée est pleinement optimisé, automatisé et s'améliore en continu. Les résultats dépassent les objectifs sur 12 mois.</t>
  </si>
  <si>
    <t>historian avec data lake et IA alimentée excellence, amélioration continue documentée</t>
  </si>
  <si>
    <t>La rétention historian est-elle ≥ 12 mois ?</t>
  </si>
  <si>
    <t>Aucun élément observable relatif à rétention données historian. Situation entièrement manuelle ou analogique.</t>
  </si>
  <si>
    <t>Absence totale de rétention données historian</t>
  </si>
  <si>
    <t>Toute trace de rétention &lt; 3 mois</t>
  </si>
  <si>
    <t>Mettre en place rétention &lt; 3 mois de base</t>
  </si>
  <si>
    <t>rétention &lt; 3 mois existe de manière informelle ou isolée, sans standardisation ni documentation formelle.</t>
  </si>
  <si>
    <t>Au moins une instance de rétention &lt; 3 mois</t>
  </si>
  <si>
    <t>Documenter et étendre rétention &lt; 3 mois</t>
  </si>
  <si>
    <t>rétention 3-11 mois est en place sur au moins 50 % du périmètre concerné. Documentation partielle disponible.</t>
  </si>
  <si>
    <t>rétention 3-11 mois couvrant ≥ 50 % du périmètre</t>
  </si>
  <si>
    <t>rétention ≥ 12 mois documentée et testée couvre l'ensemble du périmètre et est documenté, approuvé et opérationnel.</t>
  </si>
  <si>
    <t>rétention ≥ 12 mois documentée et testée complet, documenté, approuvé</t>
  </si>
  <si>
    <t>rétention ≥ 24 mois avec archivage automatique est mesuré, les résultats sont comparés à des objectifs et des actions d'amélioration sont documentées.</t>
  </si>
  <si>
    <t>rétention ≥ 24 mois avec archivage automatique mesuré et amélioré activement</t>
  </si>
  <si>
    <t>rétention illimitée avec tiering automatique est pleinement optimisé, automatisé et s'améliore en continu. Les résultats dépassent les objectifs sur 12 mois.</t>
  </si>
  <si>
    <t>rétention illimitée avec tiering automatique excellence, amélioration continue documentée</t>
  </si>
  <si>
    <t>Chaque donnée est-elle traçable jusqu'à sa source primaire ?</t>
  </si>
  <si>
    <t>Aucun élément observable relatif à traçabilité données. Situation entièrement manuelle ou analogique.</t>
  </si>
  <si>
    <t>Absence totale de traçabilité données</t>
  </si>
  <si>
    <t>Toute trace de traçabilité partielle manuelle</t>
  </si>
  <si>
    <t>Mettre en place traçabilité partielle manuelle de base</t>
  </si>
  <si>
    <t>traçabilité partielle manuelle existe de manière informelle ou isolée, sans standardisation ni documentation formelle.</t>
  </si>
  <si>
    <t>Au moins une instance de traçabilité partielle manuelle</t>
  </si>
  <si>
    <t>Documenter et étendre traçabilité partielle manuelle</t>
  </si>
  <si>
    <t>tag capteur défini pour 50 % données est en place sur au moins 50 % du périmètre concerné. Documentation partielle disponible.</t>
  </si>
  <si>
    <t>tag capteur défini pour 50 % données couvrant ≥ 50 % du périmètre</t>
  </si>
  <si>
    <t>traçabilité complète jusqu'au capteur couvre l'ensemble du périmètre et est documenté, approuvé et opérationnel.</t>
  </si>
  <si>
    <t>traçabilité complète jusqu'au capteur complet, documenté, approuvé</t>
  </si>
  <si>
    <t>traçabilité avec lignée automatique et qualité est mesuré, les résultats sont comparés à des objectifs et des actions d'amélioration sont documentées.</t>
  </si>
  <si>
    <t>traçabilité avec lignée automatique et qualité mesuré et amélioré activement</t>
  </si>
  <si>
    <t>traçabilité certifiée pour audit réglementaire est pleinement optimisé, automatisé et s'améliore en continu. Les résultats dépassent les objectifs sur 12 mois.</t>
  </si>
  <si>
    <t>traçabilité certifiée pour audit réglementaire excellence, amélioration continue documentée</t>
  </si>
  <si>
    <t>Une politique de qualité des données est-elle formalisée et approuvée ?</t>
  </si>
  <si>
    <t>Aucun élément observable relatif à politique qualité données. Situation entièrement manuelle ou analogique.</t>
  </si>
  <si>
    <t>Absence totale de politique qualité données</t>
  </si>
  <si>
    <t>Toute trace de notes informelles qualité</t>
  </si>
  <si>
    <t>Mettre en place notes informelles qualité de base</t>
  </si>
  <si>
    <t>notes informelles qualité existe de manière informelle ou isolée, sans standardisation ni documentation formelle.</t>
  </si>
  <si>
    <t>Au moins une instance de notes informelles qualité</t>
  </si>
  <si>
    <t>Documenter et étendre notes informelles qualité</t>
  </si>
  <si>
    <t>politique qualité données rédigée est en place sur au moins 50 % du périmètre concerné. Documentation partielle disponible.</t>
  </si>
  <si>
    <t>politique qualité données rédigée couvrant ≥ 50 % du périmètre</t>
  </si>
  <si>
    <t>politique approuvée et diffusée couvre l'ensemble du périmètre et est documenté, approuvé et opérationnel.</t>
  </si>
  <si>
    <t>politique approuvée et diffusée complet, documenté, approuvé</t>
  </si>
  <si>
    <t>politique avec KPI qualité mesurés est mesuré, les résultats sont comparés à des objectifs et des actions d'amélioration sont documentées.</t>
  </si>
  <si>
    <t>politique avec KPI qualité mesurés mesuré et amélioré activement</t>
  </si>
  <si>
    <t>politique avec amélioration continue certifiée est pleinement optimisé, automatisé et s'améliore en continu. Les résultats dépassent les objectifs sur 12 mois.</t>
  </si>
  <si>
    <t>politique avec amélioration continue certifiée excellence, amélioration continue documentée</t>
  </si>
  <si>
    <t>Un référentiel de données industrielles est-il documenté ?</t>
  </si>
  <si>
    <t>Aucun élément observable relatif à référentiel données. Situation entièrement manuelle ou analogique.</t>
  </si>
  <si>
    <t>Absence totale de référentiel données</t>
  </si>
  <si>
    <t>Toute trace de liste informelle de tags</t>
  </si>
  <si>
    <t>Mettre en place liste informelle de tags de base</t>
  </si>
  <si>
    <t>liste informelle de tags existe de manière informelle ou isolée, sans standardisation ni documentation formelle.</t>
  </si>
  <si>
    <t>Au moins une instance de liste informelle de tags</t>
  </si>
  <si>
    <t>Documenter et étendre liste informelle de tags</t>
  </si>
  <si>
    <t>référentiel partiel non structuré est en place sur au moins 50 % du périmètre concerné. Documentation partielle disponible.</t>
  </si>
  <si>
    <t>référentiel partiel non structuré couvrant ≥ 50 % du périmètre</t>
  </si>
  <si>
    <t>référentiel complet approuvé couvre l'ensemble du périmètre et est documenté, approuvé et opérationnel.</t>
  </si>
  <si>
    <t>référentiel complet approuvé complet, documenté, approuvé</t>
  </si>
  <si>
    <t>référentiel avec processus de mise à jour est mesuré, les résultats sont comparés à des objectifs et des actions d'amélioration sont documentées.</t>
  </si>
  <si>
    <t>référentiel avec processus de mise à jour mesuré et amélioré activement</t>
  </si>
  <si>
    <t>référentiel auto-maintenu avec gouvernance est pleinement optimisé, automatisé et s'améliore en continu. Les résultats dépassent les objectifs sur 12 mois.</t>
  </si>
  <si>
    <t>référentiel auto-maintenu avec gouvernance excellence, amélioration continue documentée</t>
  </si>
  <si>
    <t>La qualité des données est-elle mesurée automatiquement ?</t>
  </si>
  <si>
    <t>Aucun élément observable relatif à mesure qualité données auto. Situation entièrement manuelle ou analogique.</t>
  </si>
  <si>
    <t>Absence totale de mesure qualité données auto</t>
  </si>
  <si>
    <t>Toute trace de mesure manuelle ponctuelle</t>
  </si>
  <si>
    <t>Mettre en place mesure manuelle ponctuelle de base</t>
  </si>
  <si>
    <t>mesure manuelle ponctuelle existe de manière informelle ou isolée, sans standardisation ni documentation formelle.</t>
  </si>
  <si>
    <t>Au moins une instance de mesure manuelle ponctuelle</t>
  </si>
  <si>
    <t>Documenter et étendre mesure manuelle ponctuelle</t>
  </si>
  <si>
    <t>mesure automatique partielle sans objectif est en place sur au moins 50 % du périmètre concerné. Documentation partielle disponible.</t>
  </si>
  <si>
    <t>mesure automatique partielle sans objectif couvrant ≥ 50 % du périmètre</t>
  </si>
  <si>
    <t>qualité mesurée auto avec objectif défini couvre l'ensemble du périmètre et est documenté, approuvé et opérationnel.</t>
  </si>
  <si>
    <t>qualité mesurée auto avec objectif défini complet, documenté, approuvé</t>
  </si>
  <si>
    <t>qualité ≥ 95 % mesurée et alertes auto est mesuré, les résultats sont comparés à des objectifs et des actions d'amélioration sont documentées.</t>
  </si>
  <si>
    <t>qualité ≥ 95 % mesurée et alertes auto mesuré et amélioré activement</t>
  </si>
  <si>
    <t>qualité ≥ 99 % avec auto-correction est pleinement optimisé, automatisé et s'améliore en continu. Les résultats dépassent les objectifs sur 12 mois.</t>
  </si>
  <si>
    <t>qualité ≥ 99 % avec auto-correction excellence, amélioration continue documentée</t>
  </si>
  <si>
    <t>Des tableaux de bord KPI automatisés sont-ils disponibles en temps réel ?</t>
  </si>
  <si>
    <t>Aucun élément observable relatif à tableaux de bord KPI. Situation entièrement manuelle ou analogique.</t>
  </si>
  <si>
    <t>Absence totale de tableaux de bord KPI</t>
  </si>
  <si>
    <t>Toute trace de tableau de bord manuel Excel</t>
  </si>
  <si>
    <t>Mettre en place tableau de bord manuel Excel de base</t>
  </si>
  <si>
    <t>tableau de bord manuel Excel existe de manière informelle ou isolée, sans standardisation ni documentation formelle.</t>
  </si>
  <si>
    <t>Au moins une instance de tableau de bord manuel Excel</t>
  </si>
  <si>
    <t>Documenter et étendre tableau de bord manuel Excel</t>
  </si>
  <si>
    <t>≤ 5 KPI automatisés est en place sur au moins 50 % du périmètre concerné. Documentation partielle disponible.</t>
  </si>
  <si>
    <t>≤ 5 KPI automatisés couvrant ≥ 50 % du périmètre</t>
  </si>
  <si>
    <t>≥ 10 KPI temps réel sans intervention manuelle couvre l'ensemble du périmètre et est documenté, approuvé et opérationnel.</t>
  </si>
  <si>
    <t>≥ 10 KPI temps réel sans intervention manuelle complet, documenté, approuvé</t>
  </si>
  <si>
    <t>≥ 20 KPI avec alertes automatiques est mesuré, les résultats sont comparés à des objectifs et des actions d'amélioration sont documentées.</t>
  </si>
  <si>
    <t>≥ 20 KPI avec alertes automatiques mesuré et amélioré activement</t>
  </si>
  <si>
    <t>tableau de bord IA avec recommandations est pleinement optimisé, automatisé et s'améliore en continu. Les résultats dépassent les objectifs sur 12 mois.</t>
  </si>
  <si>
    <t>tableau de bord IA avec recommandations excellence, amélioration continue documentée</t>
  </si>
  <si>
    <t>Une plateforme BI industrielle est-elle déployée et utilisée ?</t>
  </si>
  <si>
    <t>Aucun élément observable relatif à plateforme BI industrielle. Situation entièrement manuelle ou analogique.</t>
  </si>
  <si>
    <t>Absence totale de plateforme BI industrielle</t>
  </si>
  <si>
    <t>Toute trace de BI généraliste non connectée OT</t>
  </si>
  <si>
    <t>Mettre en place BI généraliste non connectée OT de base</t>
  </si>
  <si>
    <t>BI généraliste non connectée OT existe de manière informelle ou isolée, sans standardisation ni documentation formelle.</t>
  </si>
  <si>
    <t>Au moins une instance de BI généraliste non connectée OT</t>
  </si>
  <si>
    <t>Documenter et étendre BI généraliste non connectée OT</t>
  </si>
  <si>
    <t>BI connectée partiellement est en place sur au moins 50 % du périmètre concerné. Documentation partielle disponible.</t>
  </si>
  <si>
    <t>BI connectée partiellement couvrant ≥ 50 % du périmètre</t>
  </si>
  <si>
    <t>BI industrielle connectée et utilisée régulièrement couvre l'ensemble du périmètre et est documenté, approuvé et opérationnel.</t>
  </si>
  <si>
    <t>BI industrielle connectée et utilisée régulièrement complet, documenté, approuvé</t>
  </si>
  <si>
    <t>BI avec analyses avancées et accès mobile est mesuré, les résultats sont comparés à des objectifs et des actions d'amélioration sont documentées.</t>
  </si>
  <si>
    <t>BI avec analyses avancées et accès mobile mesuré et amélioré activement</t>
  </si>
  <si>
    <t>BI avec IA intégrée et prédictions est pleinement optimisé, automatisé et s'améliore en continu. Les résultats dépassent les objectifs sur 12 mois.</t>
  </si>
  <si>
    <t>BI avec IA intégrée et prédictions excellence, amélioration continue documentée</t>
  </si>
  <si>
    <t>Les analyses de causes racines sont-elles réalisées avec méthode structurée ?</t>
  </si>
  <si>
    <t>Aucun élément observable relatif à analyse causes racines. Situation entièrement manuelle ou analogique.</t>
  </si>
  <si>
    <t>Absence totale de analyse causes racines</t>
  </si>
  <si>
    <t>Toute trace de analyse informelle verbale</t>
  </si>
  <si>
    <t>Mettre en place analyse informelle verbale de base</t>
  </si>
  <si>
    <t>analyse informelle verbale existe de manière informelle ou isolée, sans standardisation ni documentation formelle.</t>
  </si>
  <si>
    <t>Au moins une instance de analyse informelle verbale</t>
  </si>
  <si>
    <t>Documenter et étendre analyse informelle verbale</t>
  </si>
  <si>
    <t>analyse informelle documentée est en place sur au moins 50 % du périmètre concerné. Documentation partielle disponible.</t>
  </si>
  <si>
    <t>analyse informelle documentée couvrant ≥ 50 % du périmètre</t>
  </si>
  <si>
    <t>méthode structurée appliquée et documentée couvre l'ensemble du périmètre et est documenté, approuvé et opérationnel.</t>
  </si>
  <si>
    <t>méthode structurée appliquée et documentée complet, documenté, approuvé</t>
  </si>
  <si>
    <t>analyse systématique avec base de connaissances est mesuré, les résultats sont comparés à des objectifs et des actions d'amélioration sont documentées.</t>
  </si>
  <si>
    <t>analyse systématique avec base de connaissances mesuré et amélioré activement</t>
  </si>
  <si>
    <t>analyse automatisée par IA est pleinement optimisé, automatisé et s'améliore en continu. Les résultats dépassent les objectifs sur 12 mois.</t>
  </si>
  <si>
    <t>analyse automatisée par IA excellence, amélioration continue documentée</t>
  </si>
  <si>
    <t>Au moins 1 modèle ML est-il en production sur données industrielles ?</t>
  </si>
  <si>
    <t>Aucun élément observable relatif à modèles ML opérationnels. Situation entièrement manuelle ou analogique.</t>
  </si>
  <si>
    <t>Absence totale de modèles ML opérationnels</t>
  </si>
  <si>
    <t>Toute trace de ML en expérimentation uniquement</t>
  </si>
  <si>
    <t>Mettre en place ML en expérimentation uniquement de base</t>
  </si>
  <si>
    <t>ML en expérimentation uniquement existe de manière informelle ou isolée, sans standardisation ni documentation formelle.</t>
  </si>
  <si>
    <t>Au moins une instance de ML en expérimentation uniquement</t>
  </si>
  <si>
    <t>Documenter et étendre ML en expérimentation uniquement</t>
  </si>
  <si>
    <t>ML en test sur données historiques est en place sur au moins 50 % du périmètre concerné. Documentation partielle disponible.</t>
  </si>
  <si>
    <t>ML en test sur données historiques couvrant ≥ 50 % du périmètre</t>
  </si>
  <si>
    <t>≥ 1 modèle ML en production validé couvre l'ensemble du périmètre et est documenté, approuvé et opérationnel.</t>
  </si>
  <si>
    <t>≥ 1 modèle ML en production validé complet, documenté, approuvé</t>
  </si>
  <si>
    <t>≥ 2 modèles ML en production avec gain documenté est mesuré, les résultats sont comparés à des objectifs et des actions d'amélioration sont documentées.</t>
  </si>
  <si>
    <t>≥ 2 modèles ML en production avec gain documenté mesuré et amélioré activement</t>
  </si>
  <si>
    <t>pipeline MLOps complet auto-réentraîné est pleinement optimisé, automatisé et s'améliore en continu. Les résultats dépassent les objectifs sur 12 mois.</t>
  </si>
  <si>
    <t>pipeline MLOps complet auto-réentraîné excellence, amélioration continue documentée</t>
  </si>
  <si>
    <t>Le pipeline de données ML est-il documenté et automatisé ?</t>
  </si>
  <si>
    <t>Aucun élément observable relatif à pipeline données ML. Situation entièrement manuelle ou analogique.</t>
  </si>
  <si>
    <t>Absence totale de pipeline données ML</t>
  </si>
  <si>
    <t>Toute trace de extraction manuelle de données</t>
  </si>
  <si>
    <t>Mettre en place extraction manuelle de données de base</t>
  </si>
  <si>
    <t>extraction manuelle de données existe de manière informelle ou isolée, sans standardisation ni documentation formelle.</t>
  </si>
  <si>
    <t>Au moins une instance de extraction manuelle de données</t>
  </si>
  <si>
    <t>Documenter et étendre extraction manuelle de données</t>
  </si>
  <si>
    <t>pipeline semi-automatique non documenté est en place sur au moins 50 % du périmètre concerné. Documentation partielle disponible.</t>
  </si>
  <si>
    <t>pipeline semi-automatique non documenté couvrant ≥ 50 % du périmètre</t>
  </si>
  <si>
    <t>pipeline documenté et automatisé couvre l'ensemble du périmètre et est documenté, approuvé et opérationnel.</t>
  </si>
  <si>
    <t>pipeline documenté et automatisé complet, documenté, approuvé</t>
  </si>
  <si>
    <t>pipeline monitoré avec alertes qualité données est mesuré, les résultats sont comparés à des objectifs et des actions d'amélioration sont documentées.</t>
  </si>
  <si>
    <t>pipeline monitoré avec alertes qualité données mesuré et amélioré activement</t>
  </si>
  <si>
    <t>pipeline MLOps auto-réentraîné est pleinement optimisé, automatisé et s'améliore en continu. Les résultats dépassent les objectifs sur 12 mois.</t>
  </si>
  <si>
    <t>pipeline MLOps auto-réentraîné excellence, amélioration continue documentée</t>
  </si>
  <si>
    <t>Les modèles IA déployés ont-ils produit un gain documenté sur un KPI ?</t>
  </si>
  <si>
    <t>Aucun élément observable relatif à gain IA documenté. Situation entièrement manuelle ou analogique.</t>
  </si>
  <si>
    <t>Absence totale de gain IA documenté</t>
  </si>
  <si>
    <t>Toute trace de IA déployée sans mesure de gain</t>
  </si>
  <si>
    <t>Mettre en place IA déployée sans mesure de gain de base</t>
  </si>
  <si>
    <t>IA déployée sans mesure de gain existe de manière informelle ou isolée, sans standardisation ni documentation formelle.</t>
  </si>
  <si>
    <t>Au moins une instance de IA déployée sans mesure de gain</t>
  </si>
  <si>
    <t>Documenter et étendre IA déployée sans mesure de gain</t>
  </si>
  <si>
    <t>gain estimé non documenté formellement est en place sur au moins 50 % du périmètre concerné. Documentation partielle disponible.</t>
  </si>
  <si>
    <t>gain estimé non documenté formellement couvrant ≥ 50 % du périmètre</t>
  </si>
  <si>
    <t>gain documenté sur ≥ 1 KPI couvre l'ensemble du périmètre et est documenté, approuvé et opérationnel.</t>
  </si>
  <si>
    <t>gain documenté sur ≥ 1 KPI complet, documenté, approuvé</t>
  </si>
  <si>
    <t>gain ≥ 5 % documenté sur ≥ 2 KPI est mesuré, les résultats sont comparés à des objectifs et des actions d'amélioration sont documentées.</t>
  </si>
  <si>
    <t>gain ≥ 5 % documenté sur ≥ 2 KPI mesuré et amélioré activement</t>
  </si>
  <si>
    <t>gain continu avec ROI certifié est pleinement optimisé, automatisé et s'améliore en continu. Les résultats dépassent les objectifs sur 12 mois.</t>
  </si>
  <si>
    <t>gain continu avec ROI certifié excellence, amélioration continue documentée</t>
  </si>
  <si>
    <t>Un firewall dédié sépare-t-il les réseaux OT et IT ?</t>
  </si>
  <si>
    <t>Aucun élément observable relatif à segmentation OT/IT firewall. Situation entièrement manuelle ou analogique.</t>
  </si>
  <si>
    <t>Absence totale de segmentation OT/IT firewall</t>
  </si>
  <si>
    <t>Toute trace de firewall IT uniquement</t>
  </si>
  <si>
    <t>Mettre en place firewall IT uniquement de base</t>
  </si>
  <si>
    <t>firewall IT uniquement existe de manière informelle ou isolée, sans standardisation ni documentation formelle.</t>
  </si>
  <si>
    <t>Au moins une instance de firewall IT uniquement</t>
  </si>
  <si>
    <t>Documenter et étendre firewall IT uniquement</t>
  </si>
  <si>
    <t>firewall entre OT et IT sans règles OT spécifiques est en place sur au moins 50 % du périmètre concerné. Documentation partielle disponible.</t>
  </si>
  <si>
    <t>firewall entre OT et IT sans règles OT spécifiques couvrant ≥ 50 % du périmètre</t>
  </si>
  <si>
    <t>firewall OT/IT documenté avec règles spécifiques OT couvre l'ensemble du périmètre et est documenté, approuvé et opérationnel.</t>
  </si>
  <si>
    <t>firewall OT/IT documenté avec règles spécifiques OT complet, documenté, approuvé</t>
  </si>
  <si>
    <t>firewall OT/IT audité et testé annuellement est mesuré, les résultats sont comparés à des objectifs et des actions d'amélioration sont documentées.</t>
  </si>
  <si>
    <t>firewall OT/IT audité et testé annuellement mesuré et amélioré activement</t>
  </si>
  <si>
    <t>NGFW OT avec détection d'anomalies est pleinement optimisé, automatisé et s'améliore en continu. Les résultats dépassent les objectifs sur 12 mois.</t>
  </si>
  <si>
    <t>NGFW OT avec détection d'anomalies excellence, amélioration continue documentée</t>
  </si>
  <si>
    <t>Une DMZ OT dédiée est-elle déployée et opérationnelle ?</t>
  </si>
  <si>
    <t>Aucun élément observable relatif à DMZ OT opérationnelle. Situation entièrement manuelle ou analogique.</t>
  </si>
  <si>
    <t>Absence totale de DMZ OT opérationnelle</t>
  </si>
  <si>
    <t>Toute trace de cloisonnement basique sans DMZ dédiée</t>
  </si>
  <si>
    <t>Mettre en place cloisonnement basique sans DMZ dédiée de base</t>
  </si>
  <si>
    <t>cloisonnement basique sans DMZ dédiée existe de manière informelle ou isolée, sans standardisation ni documentation formelle.</t>
  </si>
  <si>
    <t>Au moins une instance de cloisonnement basique sans DMZ dédiée</t>
  </si>
  <si>
    <t>Documenter et étendre cloisonnement basique sans DMZ dédiée</t>
  </si>
  <si>
    <t>DMZ en projet ou partielle est en place sur au moins 50 % du périmètre concerné. Documentation partielle disponible.</t>
  </si>
  <si>
    <t>DMZ en projet ou partielle couvrant ≥ 50 % du périmètre</t>
  </si>
  <si>
    <t>DMZ L3.5 complète et documentée couvre l'ensemble du périmètre et est documenté, approuvé et opérationnel.</t>
  </si>
  <si>
    <t>DMZ L3.5 complète et documentée complet, documenté, approuvé</t>
  </si>
  <si>
    <t>DMZ auditée et flux validés annuellement est mesuré, les résultats sont comparés à des objectifs et des actions d'amélioration sont documentées.</t>
  </si>
  <si>
    <t>DMZ auditée et flux validés annuellement mesuré et amélioré activement</t>
  </si>
  <si>
    <t>DMZ avec inspection de flux automatisée est pleinement optimisé, automatisé et s'améliore en continu. Les résultats dépassent les objectifs sur 12 mois.</t>
  </si>
  <si>
    <t>DMZ avec inspection de flux automatisée excellence, amélioration continue documentée</t>
  </si>
  <si>
    <t>Une politique de patch management OT est-elle appliquée selon calendrier ?</t>
  </si>
  <si>
    <t>Aucun élément observable relatif à patch management OT. Situation entièrement manuelle ou analogique.</t>
  </si>
  <si>
    <t>Absence totale de patch management OT</t>
  </si>
  <si>
    <t>Toute trace de patches OT appliqués manuellement sans politique</t>
  </si>
  <si>
    <t>Mettre en place patches OT appliqués manuellement sans politique de base</t>
  </si>
  <si>
    <t>patches OT appliqués manuellement sans politique existe de manière informelle ou isolée, sans standardisation ni documentation formelle.</t>
  </si>
  <si>
    <t>Au moins une instance de patches OT appliqués manuellement sans politique</t>
  </si>
  <si>
    <t>Documenter et étendre patches OT appliqués manuellement sans politique</t>
  </si>
  <si>
    <t>politique patch OT rédigée non appliquée est en place sur au moins 50 % du périmètre concerné. Documentation partielle disponible.</t>
  </si>
  <si>
    <t>politique patch OT rédigée non appliquée couvrant ≥ 50 % du périmètre</t>
  </si>
  <si>
    <t>politique patch OT appliquée selon calendrier couvre l'ensemble du périmètre et est documenté, approuvé et opérationnel.</t>
  </si>
  <si>
    <t>politique patch OT appliquée selon calendrier complet, documenté, approuvé</t>
  </si>
  <si>
    <t>patches OT testés avant déploiement avec journalisation est mesuré, les résultats sont comparés à des objectifs et des actions d'amélioration sont documentées.</t>
  </si>
  <si>
    <t>patches OT testés avant déploiement avec journalisation mesuré et amélioré activement</t>
  </si>
  <si>
    <t>patch auto-déployé après validation est pleinement optimisé, automatisé et s'améliore en continu. Les résultats dépassent les objectifs sur 12 mois.</t>
  </si>
  <si>
    <t>patch auto-déployé après validation excellence, amélioration continue documentée</t>
  </si>
  <si>
    <t>Un AD OT dédié est-il déployé et opérationnel ?</t>
  </si>
  <si>
    <t>Aucun élément observable relatif à AD OT déployé. Situation entièrement manuelle ou analogique.</t>
  </si>
  <si>
    <t>Absence totale de AD OT déployé</t>
  </si>
  <si>
    <t>Toute trace de comptes locaux non centralisés</t>
  </si>
  <si>
    <t>Mettre en place comptes locaux non centralisés de base</t>
  </si>
  <si>
    <t>comptes locaux non centralisés existe de manière informelle ou isolée, sans standardisation ni documentation formelle.</t>
  </si>
  <si>
    <t>Au moins une instance de comptes locaux non centralisés</t>
  </si>
  <si>
    <t>Documenter et étendre comptes locaux non centralisés</t>
  </si>
  <si>
    <t>AD IT utilisé pour OT (non dédié) est en place sur au moins 50 % du périmètre concerné. Documentation partielle disponible.</t>
  </si>
  <si>
    <t>AD IT utilisé pour OT (non dédié) couvrant ≥ 50 % du périmètre</t>
  </si>
  <si>
    <t>AD OT dédié déployé et opérationnel couvre l'ensemble du périmètre et est documenté, approuvé et opérationnel.</t>
  </si>
  <si>
    <t>AD OT dédié déployé et opérationnel complet, documenté, approuvé</t>
  </si>
  <si>
    <t>AD OT avec MFA et revue périodique est mesuré, les résultats sont comparés à des objectifs et des actions d'amélioration sont documentées.</t>
  </si>
  <si>
    <t>AD OT avec MFA et revue périodique mesuré et amélioré activement</t>
  </si>
  <si>
    <t>AD OT avec provisionnement automatique et SIEM est pleinement optimisé, automatisé et s'améliore en continu. Les résultats dépassent les objectifs sur 12 mois.</t>
  </si>
  <si>
    <t>AD OT avec provisionnement automatique et SIEM excellence, amélioration continue documentée</t>
  </si>
  <si>
    <t>Les accès distants OT passent-ils par un Jump Host + MFA avec logs ?</t>
  </si>
  <si>
    <t>Aucun élément observable relatif à accès distants OT sécurisés. Situation entièrement manuelle ou analogique.</t>
  </si>
  <si>
    <t>Absence totale de accès distants OT sécurisés</t>
  </si>
  <si>
    <t>Toute trace de VPN sans contrôle dédié OT</t>
  </si>
  <si>
    <t>Mettre en place VPN sans contrôle dédié OT de base</t>
  </si>
  <si>
    <t>VPN sans contrôle dédié OT existe de manière informelle ou isolée, sans standardisation ni documentation formelle.</t>
  </si>
  <si>
    <t>Au moins une instance de VPN sans contrôle dédié OT</t>
  </si>
  <si>
    <t>Documenter et étendre VPN sans contrôle dédié OT</t>
  </si>
  <si>
    <t>Jump Host déployé sans MFA est en place sur au moins 50 % du périmètre concerné. Documentation partielle disponible.</t>
  </si>
  <si>
    <t>Jump Host déployé sans MFA couvrant ≥ 50 % du périmètre</t>
  </si>
  <si>
    <t>Jump Host + MFA opérationnel avec logs couvre l'ensemble du périmètre et est documenté, approuvé et opérationnel.</t>
  </si>
  <si>
    <t>Jump Host + MFA opérationnel avec logs complet, documenté, approuvé</t>
  </si>
  <si>
    <t>Accès distants audités trimestriellement est mesuré, les résultats sont comparés à des objectifs et des actions d'amélioration sont documentées.</t>
  </si>
  <si>
    <t>Accès distants audités trimestriellement mesuré et amélioré activement</t>
  </si>
  <si>
    <t>Accès distants zero-trust avec enregistrement est pleinement optimisé, automatisé et s'améliore en continu. Les résultats dépassent les objectifs sur 12 mois.</t>
  </si>
  <si>
    <t>Accès distants zero-trust avec enregistrement excellence, amélioration continue documentée</t>
  </si>
  <si>
    <t>Les droits d'accès OT font-ils l'objet d'une revue annuelle documentée ?</t>
  </si>
  <si>
    <t>Aucun élément observable relatif à revue accès OT. Situation entièrement manuelle ou analogique.</t>
  </si>
  <si>
    <t>Absence totale de revue accès OT</t>
  </si>
  <si>
    <t>Toute trace de revue informelle ad hoc</t>
  </si>
  <si>
    <t>Mettre en place revue informelle ad hoc de base</t>
  </si>
  <si>
    <t>revue informelle ad hoc existe de manière informelle ou isolée, sans standardisation ni documentation formelle.</t>
  </si>
  <si>
    <t>Au moins une instance de revue informelle ad hoc</t>
  </si>
  <si>
    <t>Documenter et étendre revue informelle ad hoc</t>
  </si>
  <si>
    <t>revue annuelle informelle est en place sur au moins 50 % du périmètre concerné. Documentation partielle disponible.</t>
  </si>
  <si>
    <t>revue annuelle informelle couvrant ≥ 50 % du périmètre</t>
  </si>
  <si>
    <t>revue formelle annuelle documentée couvre l'ensemble du périmètre et est documenté, approuvé et opérationnel.</t>
  </si>
  <si>
    <t>revue formelle annuelle documentée complet, documenté, approuvé</t>
  </si>
  <si>
    <t>revue semestrielle avec suppression automatique comptes inactifs est mesuré, les résultats sont comparés à des objectifs et des actions d'amélioration sont documentées.</t>
  </si>
  <si>
    <t>revue semestrielle avec suppression automatique comptes inactifs mesuré et amélioré activement</t>
  </si>
  <si>
    <t>revue continue automatisée est pleinement optimisé, automatisé et s'améliore en continu. Les résultats dépassent les objectifs sur 12 mois.</t>
  </si>
  <si>
    <t>revue continue automatisée excellence, amélioration continue documentée</t>
  </si>
  <si>
    <t>Une politique de transformation digitale est-elle documentée et approuvée ?</t>
  </si>
  <si>
    <t>Aucun élément observable relatif à politique digitale. Situation entièrement manuelle ou analogique.</t>
  </si>
  <si>
    <t>Absence totale de politique digitale</t>
  </si>
  <si>
    <t>Toute trace de intention verbale de la direction</t>
  </si>
  <si>
    <t>Mettre en place intention verbale de la direction de base</t>
  </si>
  <si>
    <t>intention verbale de la direction existe de manière informelle ou isolée, sans standardisation ni documentation formelle.</t>
  </si>
  <si>
    <t>Au moins une instance de intention verbale de la direction</t>
  </si>
  <si>
    <t>Documenter et étendre intention verbale de la direction</t>
  </si>
  <si>
    <t>politique rédigée non approuvée est en place sur au moins 50 % du périmètre concerné. Documentation partielle disponible.</t>
  </si>
  <si>
    <t>politique rédigée non approuvée couvrant ≥ 50 % du périmètre</t>
  </si>
  <si>
    <t>politique avec indicateurs de gouvernance est mesuré, les résultats sont comparés à des objectifs et des actions d'amélioration sont documentées.</t>
  </si>
  <si>
    <t>politique avec indicateurs de gouvernance mesuré et amélioré activement</t>
  </si>
  <si>
    <t>politique révisée annuellement avec benchmarks est pleinement optimisé, automatisé et s'améliore en continu. Les résultats dépassent les objectifs sur 12 mois.</t>
  </si>
  <si>
    <t>politique révisée annuellement avec benchmarks excellence, amélioration continue documentée</t>
  </si>
  <si>
    <t>Les modifications des systèmes digitaux suivent-elles un processus de changement ?</t>
  </si>
  <si>
    <t>Aucun élément observable relatif à gestion changement digital. Situation entièrement manuelle ou analogique.</t>
  </si>
  <si>
    <t>Absence totale de gestion changement digital</t>
  </si>
  <si>
    <t>Toute trace de changements ad hoc non tracés</t>
  </si>
  <si>
    <t>Mettre en place changements ad hoc non tracés de base</t>
  </si>
  <si>
    <t>changements ad hoc non tracés existe de manière informelle ou isolée, sans standardisation ni documentation formelle.</t>
  </si>
  <si>
    <t>Au moins une instance de changements ad hoc non tracés</t>
  </si>
  <si>
    <t>Documenter et étendre changements ad hoc non tracés</t>
  </si>
  <si>
    <t>procédure informelle appliquée partiellement est en place sur au moins 50 % du périmètre concerné. Documentation partielle disponible.</t>
  </si>
  <si>
    <t>procédure informelle appliquée partiellement couvrant ≥ 50 % du périmètre</t>
  </si>
  <si>
    <t>procédure formelle appliquée systématiquement couvre l'ensemble du périmètre et est documenté, approuvé et opérationnel.</t>
  </si>
  <si>
    <t>procédure formelle appliquée systématiquement complet, documenté, approuvé</t>
  </si>
  <si>
    <t>procédure avec validation automatisée est mesuré, les résultats sont comparés à des objectifs et des actions d'amélioration sont documentées.</t>
  </si>
  <si>
    <t>procédure avec validation automatisée mesuré et amélioré activement</t>
  </si>
  <si>
    <t>gestion du changement intégrée aux outils CI/CD est pleinement optimisé, automatisé et s'améliore en continu. Les résultats dépassent les objectifs sur 12 mois.</t>
  </si>
  <si>
    <t>gestion du changement intégrée aux outils CI/CD excellence, amélioration continue documentée</t>
  </si>
  <si>
    <t>Un comité de gouvernance digital se réunit-il avec PV documentés ?</t>
  </si>
  <si>
    <t>Aucun élément observable relatif à comité pilotage digital. Situation entièrement manuelle ou analogique.</t>
  </si>
  <si>
    <t>Absence totale de comité pilotage digital</t>
  </si>
  <si>
    <t>Toute trace de réunion ad hoc sans structure</t>
  </si>
  <si>
    <t>Mettre en place réunion ad hoc sans structure de base</t>
  </si>
  <si>
    <t>réunion ad hoc sans structure existe de manière informelle ou isolée, sans standardisation ni documentation formelle.</t>
  </si>
  <si>
    <t>Au moins une instance de réunion ad hoc sans structure</t>
  </si>
  <si>
    <t>Documenter et étendre réunion ad hoc sans structure</t>
  </si>
  <si>
    <t>réunion trimestrielle sans mandat défini est en place sur au moins 50 % du périmètre concerné. Documentation partielle disponible.</t>
  </si>
  <si>
    <t>réunion trimestrielle sans mandat défini couvrant ≥ 50 % du périmètre</t>
  </si>
  <si>
    <t>comité mensuel avec mandat et PV couvre l'ensemble du périmètre et est documenté, approuvé et opérationnel.</t>
  </si>
  <si>
    <t>comité mensuel avec mandat et PV complet, documenté, approuvé</t>
  </si>
  <si>
    <t>comité avec KPI de gouvernance et tableaux de bord est mesuré, les résultats sont comparés à des objectifs et des actions d'amélioration sont documentées.</t>
  </si>
  <si>
    <t>comité avec KPI de gouvernance et tableaux de bord mesuré et amélioré activement</t>
  </si>
  <si>
    <t>comité stratégique lié à la feuille de route est pleinement optimisé, automatisé et s'améliore en continu. Les résultats dépassent les objectifs sur 12 mois.</t>
  </si>
  <si>
    <t>comité stratégique lié à la feuille de route excellence, amélioration continue documentée</t>
  </si>
  <si>
    <t>Un plan d'audit OT/IT est-il planifié et exécuté annuellement ?</t>
  </si>
  <si>
    <t>Aucun élément observable relatif à plan audit OT/IT. Situation entièrement manuelle ou analogique.</t>
  </si>
  <si>
    <t>Absence totale de plan audit OT/IT</t>
  </si>
  <si>
    <t>Toute trace de audit ad hoc ponctuel</t>
  </si>
  <si>
    <t>Mettre en place audit ad hoc ponctuel de base</t>
  </si>
  <si>
    <t>audit ad hoc ponctuel existe de manière informelle ou isolée, sans standardisation ni documentation formelle.</t>
  </si>
  <si>
    <t>Au moins une instance de audit ad hoc ponctuel</t>
  </si>
  <si>
    <t>Documenter et étendre audit ad hoc ponctuel</t>
  </si>
  <si>
    <t>plan d'audit rédigé non exécuté est en place sur au moins 50 % du périmètre concerné. Documentation partielle disponible.</t>
  </si>
  <si>
    <t>plan d'audit rédigé non exécuté couvrant ≥ 50 % du périmètre</t>
  </si>
  <si>
    <t>plan d'audit exécuté avec rapport couvre l'ensemble du périmètre et est documenté, approuvé et opérationnel.</t>
  </si>
  <si>
    <t>plan d'audit exécuté avec rapport complet, documenté, approuvé</t>
  </si>
  <si>
    <t>plan d'audit annuel avec suivi des recommandations est mesuré, les résultats sont comparés à des objectifs et des actions d'amélioration sont documentées.</t>
  </si>
  <si>
    <t>plan d'audit annuel avec suivi des recommandations mesuré et amélioré activement</t>
  </si>
  <si>
    <t>audit continu avec outils automatisés est pleinement optimisé, automatisé et s'améliore en continu. Les résultats dépassent les objectifs sur 12 mois.</t>
  </si>
  <si>
    <t>audit continu avec outils automatisés excellence, amélioration continue documentée</t>
  </si>
  <si>
    <t>Les non-conformités digitales sont-elles tracées dans un outil de suivi ?</t>
  </si>
  <si>
    <t>Aucun élément observable relatif à non-conformités tracées. Situation entièrement manuelle ou analogique.</t>
  </si>
  <si>
    <t>Absence totale de non-conformités tracées</t>
  </si>
  <si>
    <t>Toute trace de suivi informel</t>
  </si>
  <si>
    <t>Mettre en place suivi informel de base</t>
  </si>
  <si>
    <t>suivi informel existe de manière informelle ou isolée, sans standardisation ni documentation formelle.</t>
  </si>
  <si>
    <t>Au moins une instance de suivi informel</t>
  </si>
  <si>
    <t>Documenter et étendre suivi informel</t>
  </si>
  <si>
    <t>registre partiel des NC est en place sur au moins 50 % du périmètre concerné. Documentation partielle disponible.</t>
  </si>
  <si>
    <t>registre partiel des NC couvrant ≥ 50 % du périmètre</t>
  </si>
  <si>
    <t>registre complet avec responsable et délai couvre l'ensemble du périmètre et est documenté, approuvé et opérationnel.</t>
  </si>
  <si>
    <t>registre complet avec responsable et délai complet, documenté, approuvé</t>
  </si>
  <si>
    <t>taux résolution ≥ 90 % dans les délais est mesuré, les résultats sont comparés à des objectifs et des actions d'amélioration sont documentées.</t>
  </si>
  <si>
    <t>taux résolution ≥ 90 % dans les délais mesuré et amélioré activement</t>
  </si>
  <si>
    <t>résolution automatisée et prédiction des NC est pleinement optimisé, automatisé et s'améliore en continu. Les résultats dépassent les objectifs sur 12 mois.</t>
  </si>
  <si>
    <t>résolution automatisée et prédiction des NC excellence, amélioration continue documentée</t>
  </si>
  <si>
    <t>La conformité réglementaire digitale est-elle documentée et maintenue ?</t>
  </si>
  <si>
    <t>Aucun élément observable relatif à conformité réglementaire digitale. Situation entièrement manuelle ou analogique.</t>
  </si>
  <si>
    <t>Absence totale de conformité réglementaire digitale</t>
  </si>
  <si>
    <t>Toute trace de liste informelle d'exigences</t>
  </si>
  <si>
    <t>Mettre en place liste informelle d'exigences de base</t>
  </si>
  <si>
    <t>liste informelle d'exigences existe de manière informelle ou isolée, sans standardisation ni documentation formelle.</t>
  </si>
  <si>
    <t>Au moins une instance de liste informelle d'exigences</t>
  </si>
  <si>
    <t>Documenter et étendre liste informelle d'exigences</t>
  </si>
  <si>
    <t>matrice de conformité partielle est en place sur au moins 50 % du périmètre concerné. Documentation partielle disponible.</t>
  </si>
  <si>
    <t>matrice de conformité partielle couvrant ≥ 50 % du périmètre</t>
  </si>
  <si>
    <t>matrice complète approuvée couvre l'ensemble du périmètre et est documenté, approuvé et opérationnel.</t>
  </si>
  <si>
    <t>matrice complète approuvée complet, documenté, approuvé</t>
  </si>
  <si>
    <t>matrice mise à jour annuellement avec audits est mesuré, les résultats sont comparés à des objectifs et des actions d'amélioration sont documentées.</t>
  </si>
  <si>
    <t>matrice mise à jour annuellement avec audits mesuré et amélioré activement</t>
  </si>
  <si>
    <t>conformité certifiée par tiers est pleinement optimisé, automatisé et s'améliore en continu. Les résultats dépassent les objectifs sur 12 mois.</t>
  </si>
  <si>
    <t>conformité certifiée par tiers excellence, amélioration continue documentée</t>
  </si>
  <si>
    <t>Une cartographie des compétences digitales a-t-elle été réalisée ?</t>
  </si>
  <si>
    <t>Aucun élément observable relatif à cartographie compétences. Situation entièrement manuelle ou analogique.</t>
  </si>
  <si>
    <t>Absence totale de cartographie compétences</t>
  </si>
  <si>
    <t>Toute trace de évaluation informelle verbale</t>
  </si>
  <si>
    <t>Mettre en place évaluation informelle verbale de base</t>
  </si>
  <si>
    <t>évaluation informelle verbale existe de manière informelle ou isolée, sans standardisation ni documentation formelle.</t>
  </si>
  <si>
    <t>Au moins une instance de évaluation informelle verbale</t>
  </si>
  <si>
    <t>Documenter et étendre évaluation informelle verbale</t>
  </si>
  <si>
    <t>cartographie partielle non structurée est en place sur au moins 50 % du périmètre concerné. Documentation partielle disponible.</t>
  </si>
  <si>
    <t>cartographie partielle non structurée couvrant ≥ 50 % du périmètre</t>
  </si>
  <si>
    <t>cartographie complète documentée couvre l'ensemble du périmètre et est documenté, approuvé et opérationnel.</t>
  </si>
  <si>
    <t>cartographie complète documentée complet, documenté, approuvé</t>
  </si>
  <si>
    <t>cartographie mise à jour annuellement est mesuré, les résultats sont comparés à des objectifs et des actions d'amélioration sont documentées.</t>
  </si>
  <si>
    <t>cartographie mise à jour annuellement mesuré et amélioré activement</t>
  </si>
  <si>
    <t>cartographie intégrée SIRH avec IA est pleinement optimisé, automatisé et s'améliore en continu. Les résultats dépassent les objectifs sur 12 mois.</t>
  </si>
  <si>
    <t>cartographie intégrée SIRH avec IA excellence, amélioration continue documentée</t>
  </si>
  <si>
    <t>Les gaps de compétences digitales sont-ils documentés et priorisés ?</t>
  </si>
  <si>
    <t>Aucun élément observable relatif à gaps compétences identifiés. Situation entièrement manuelle ou analogique.</t>
  </si>
  <si>
    <t>Absence totale de gaps compétences identifiés</t>
  </si>
  <si>
    <t>Toute trace de gaps verbaux non documentés</t>
  </si>
  <si>
    <t>Mettre en place gaps verbaux non documentés de base</t>
  </si>
  <si>
    <t>gaps verbaux non documentés existe de manière informelle ou isolée, sans standardisation ni documentation formelle.</t>
  </si>
  <si>
    <t>Au moins une instance de gaps verbaux non documentés</t>
  </si>
  <si>
    <t>Documenter et étendre gaps verbaux non documentés</t>
  </si>
  <si>
    <t>gaps partiellement documentés est en place sur au moins 50 % du périmètre concerné. Documentation partielle disponible.</t>
  </si>
  <si>
    <t>gaps partiellement documentés couvrant ≥ 50 % du périmètre</t>
  </si>
  <si>
    <t>gaps documentés et priorisés couvre l'ensemble du périmètre et est documenté, approuvé et opérationnel.</t>
  </si>
  <si>
    <t>gaps documentés et priorisés complet, documenté, approuvé</t>
  </si>
  <si>
    <t>gaps avec plan d'action formalisé est mesuré, les résultats sont comparés à des objectifs et des actions d'amélioration sont documentées.</t>
  </si>
  <si>
    <t>gaps avec plan d'action formalisé mesuré et amélioré activement</t>
  </si>
  <si>
    <t>gaps avec prédiction des besoins futurs est pleinement optimisé, automatisé et s'améliore en continu. Les résultats dépassent les objectifs sur 12 mois.</t>
  </si>
  <si>
    <t>gaps avec prédiction des besoins futurs excellence, amélioration continue documentée</t>
  </si>
  <si>
    <t>Les compétences digitales requises sont-elles dans les fiches de poste ?</t>
  </si>
  <si>
    <t>Aucun élément observable relatif à compétences dans fiches de poste. Situation entièrement manuelle ou analogique.</t>
  </si>
  <si>
    <t>Absence totale de compétences dans fiches de poste</t>
  </si>
  <si>
    <t>Toute trace de mention informelle</t>
  </si>
  <si>
    <t>Mettre en place mention informelle de base</t>
  </si>
  <si>
    <t>mention informelle existe de manière informelle ou isolée, sans standardisation ni documentation formelle.</t>
  </si>
  <si>
    <t>Au moins une instance de mention informelle</t>
  </si>
  <si>
    <t>Documenter et étendre mention informelle</t>
  </si>
  <si>
    <t>quelques FP avec compétences digitales est en place sur au moins 50 % du périmètre concerné. Documentation partielle disponible.</t>
  </si>
  <si>
    <t>quelques FP avec compétences digitales couvrant ≥ 50 % du périmètre</t>
  </si>
  <si>
    <t>toutes FP clés avec compétences digitales couvre l'ensemble du périmètre et est documenté, approuvé et opérationnel.</t>
  </si>
  <si>
    <t>toutes FP clés avec compétences digitales complet, documenté, approuvé</t>
  </si>
  <si>
    <t>FP révisées annuellement avec niveaux requis est mesuré, les résultats sont comparés à des objectifs et des actions d'amélioration sont documentées.</t>
  </si>
  <si>
    <t>FP révisées annuellement avec niveaux requis mesuré et amélioré activement</t>
  </si>
  <si>
    <t>FP dynamiques liées au SIRH et formations est pleinement optimisé, automatisé et s'améliore en continu. Les résultats dépassent les objectifs sur 12 mois.</t>
  </si>
  <si>
    <t>FP dynamiques liées au SIRH et formations excellence, amélioration continue documentée</t>
  </si>
  <si>
    <t>Un plan de formation digitale est-il approuvé avec budget alloué ?</t>
  </si>
  <si>
    <t>Aucun élément observable relatif à plan formation digitale. Situation entièrement manuelle ou analogique.</t>
  </si>
  <si>
    <t>Absence totale de plan formation digitale</t>
  </si>
  <si>
    <t>Toute trace de formation ad hoc non planifiée</t>
  </si>
  <si>
    <t>Mettre en place formation ad hoc non planifiée de base</t>
  </si>
  <si>
    <t>formation ad hoc non planifiée existe de manière informelle ou isolée, sans standardisation ni documentation formelle.</t>
  </si>
  <si>
    <t>Au moins une instance de formation ad hoc non planifiée</t>
  </si>
  <si>
    <t>Documenter et étendre formation ad hoc non planifiée</t>
  </si>
  <si>
    <t>plan rédigé sans budget ni approbation est en place sur au moins 50 % du périmètre concerné. Documentation partielle disponible.</t>
  </si>
  <si>
    <t>plan rédigé sans budget ni approbation couvrant ≥ 50 % du périmètre</t>
  </si>
  <si>
    <t>plan approuvé avec budget alloué couvre l'ensemble du périmètre et est documenté, approuvé et opérationnel.</t>
  </si>
  <si>
    <t>plan approuvé avec budget alloué complet, documenté, approuvé</t>
  </si>
  <si>
    <t>plan exécuté à ≥ 80 % avec évaluations est mesuré, les résultats sont comparés à des objectifs et des actions d'amélioration sont documentées.</t>
  </si>
  <si>
    <t>plan exécuté à ≥ 80 % avec évaluations mesuré et amélioré activement</t>
  </si>
  <si>
    <t>plan avec IA personnalisant les parcours est pleinement optimisé, automatisé et s'améliore en continu. Les résultats dépassent les objectifs sur 12 mois.</t>
  </si>
  <si>
    <t>plan avec IA personnalisant les parcours excellence, amélioration continue documentée</t>
  </si>
  <si>
    <t>Le taux d'exécution du plan de formation est-il mesuré ?</t>
  </si>
  <si>
    <t>Aucun élément observable relatif à taux exécution formations. Situation entièrement manuelle ou analogique.</t>
  </si>
  <si>
    <t>Absence totale de taux exécution formations</t>
  </si>
  <si>
    <t>Toute trace de taux exécution &lt; 30 %</t>
  </si>
  <si>
    <t>Mettre en place taux exécution &lt; 30 % de base</t>
  </si>
  <si>
    <t>taux exécution &lt; 30 % existe de manière informelle ou isolée, sans standardisation ni documentation formelle.</t>
  </si>
  <si>
    <t>Au moins une instance de taux exécution &lt; 30 %</t>
  </si>
  <si>
    <t>Documenter et étendre taux exécution &lt; 30 %</t>
  </si>
  <si>
    <t>taux exécution 30-59 % est en place sur au moins 50 % du périmètre concerné. Documentation partielle disponible.</t>
  </si>
  <si>
    <t>taux exécution 30-59 % couvrant ≥ 50 % du périmètre</t>
  </si>
  <si>
    <t>taux exécution ≥ 80 % couvre l'ensemble du périmètre et est documenté, approuvé et opérationnel.</t>
  </si>
  <si>
    <t>taux exécution ≥ 80 % complet, documenté, approuvé</t>
  </si>
  <si>
    <t>taux exécution ≥ 90 % avec rattrapage systématique est mesuré, les résultats sont comparés à des objectifs et des actions d'amélioration sont documentées.</t>
  </si>
  <si>
    <t>taux exécution ≥ 90 % avec rattrapage systématique mesuré et amélioré activement</t>
  </si>
  <si>
    <t>100 % exécution avec plans personnalisés est pleinement optimisé, automatisé et s'améliore en continu. Les résultats dépassent les objectifs sur 12 mois.</t>
  </si>
  <si>
    <t>100 % exécution avec plans personnalisés excellence, amélioration continue documentée</t>
  </si>
  <si>
    <t>Des évaluations post-formation sont-elles réalisées systématiquement ?</t>
  </si>
  <si>
    <t>Aucun élément observable relatif à évaluations post-formation. Situation entièrement manuelle ou analogique.</t>
  </si>
  <si>
    <t>Absence totale de évaluations post-formation</t>
  </si>
  <si>
    <t>Toute trace de satisfaction collectée informellement</t>
  </si>
  <si>
    <t>Mettre en place satisfaction collectée informellement de base</t>
  </si>
  <si>
    <t>satisfaction collectée informellement existe de manière informelle ou isolée, sans standardisation ni documentation formelle.</t>
  </si>
  <si>
    <t>Au moins une instance de satisfaction collectée informellement</t>
  </si>
  <si>
    <t>Documenter et étendre satisfaction collectée informellement</t>
  </si>
  <si>
    <t>évaluations de satisfaction formelles est en place sur au moins 50 % du périmètre concerné. Documentation partielle disponible.</t>
  </si>
  <si>
    <t>évaluations de satisfaction formelles couvrant ≥ 50 % du périmètre</t>
  </si>
  <si>
    <t>évaluations d'acquisition de compétences couvre l'ensemble du périmètre et est documenté, approuvé et opérationnel.</t>
  </si>
  <si>
    <t>évaluations d'acquisition de compétences complet, documenté, approuvé</t>
  </si>
  <si>
    <t>résultats intégrés dans le suivi des gaps est mesuré, les résultats sont comparés à des objectifs et des actions d'amélioration sont documentées.</t>
  </si>
  <si>
    <t>résultats intégrés dans le suivi des gaps mesuré et amélioré activement</t>
  </si>
  <si>
    <t>évaluations avec impact mesuré sur KPI est pleinement optimisé, automatisé et s'améliore en continu. Les résultats dépassent les objectifs sur 12 mois.</t>
  </si>
  <si>
    <t>évaluations avec impact mesuré sur KPI excellence, amélioration continue documentée</t>
  </si>
  <si>
    <t>Le taux d'adoption des outils numériques est-il mesuré objectivement ?</t>
  </si>
  <si>
    <t>Aucun élément observable relatif à taux adoption outils numériques. Situation entièrement manuelle ou analogique.</t>
  </si>
  <si>
    <t>Absence totale de taux adoption outils numériques</t>
  </si>
  <si>
    <t>Toute trace de taux adoption estimé &lt; 20 %</t>
  </si>
  <si>
    <t>Mettre en place taux adoption estimé &lt; 20 % de base</t>
  </si>
  <si>
    <t>taux adoption estimé &lt; 20 % existe de manière informelle ou isolée, sans standardisation ni documentation formelle.</t>
  </si>
  <si>
    <t>Au moins une instance de taux adoption estimé &lt; 20 %</t>
  </si>
  <si>
    <t>Documenter et étendre taux adoption estimé &lt; 20 %</t>
  </si>
  <si>
    <t>taux adoption 20-49 % est en place sur au moins 50 % du périmètre concerné. Documentation partielle disponible.</t>
  </si>
  <si>
    <t>taux adoption 20-49 % couvrant ≥ 50 % du périmètre</t>
  </si>
  <si>
    <t>taux adoption ≥ 80 % mesuré couvre l'ensemble du périmètre et est documenté, approuvé et opérationnel.</t>
  </si>
  <si>
    <t>taux adoption ≥ 80 % mesuré complet, documenté, approuvé</t>
  </si>
  <si>
    <t>adoption mesurée en continu avec feedback utilisateurs est mesuré, les résultats sont comparés à des objectifs et des actions d'amélioration sont documentées.</t>
  </si>
  <si>
    <t>adoption mesurée en continu avec feedback utilisateurs mesuré et amélioré activement</t>
  </si>
  <si>
    <t>adoption ≥ 95 % avec expérience utilisateur optimisée est pleinement optimisé, automatisé et s'améliore en continu. Les résultats dépassent les objectifs sur 12 mois.</t>
  </si>
  <si>
    <t>adoption ≥ 95 % avec expérience utilisateur optimisée excellence, amélioration continue documentée</t>
  </si>
  <si>
    <t>Un référent digital est-il identifié avec fiche de mission et actions ?</t>
  </si>
  <si>
    <t>Aucun élément observable relatif à référent digital actif. Situation entièrement manuelle ou analogique.</t>
  </si>
  <si>
    <t>Absence totale de référent digital actif</t>
  </si>
  <si>
    <t>Toute trace de référent nommé sans mission définie</t>
  </si>
  <si>
    <t>Mettre en place référent nommé sans mission définie de base</t>
  </si>
  <si>
    <t>référent nommé sans mission définie existe de manière informelle ou isolée, sans standardisation ni documentation formelle.</t>
  </si>
  <si>
    <t>Au moins une instance de référent nommé sans mission définie</t>
  </si>
  <si>
    <t>Documenter et étendre référent nommé sans mission définie</t>
  </si>
  <si>
    <t>référent avec mission informelle est en place sur au moins 50 % du périmètre concerné. Documentation partielle disponible.</t>
  </si>
  <si>
    <t>référent avec mission informelle couvrant ≥ 50 % du périmètre</t>
  </si>
  <si>
    <t>référent avec fiche de mission et actions documentées couvre l'ensemble du périmètre et est documenté, approuvé et opérationnel.</t>
  </si>
  <si>
    <t>référent avec fiche de mission et actions documentées complet, documenté, approuvé</t>
  </si>
  <si>
    <t>référent avec KPI d'adoption et reporting est mesuré, les résultats sont comparés à des objectifs et des actions d'amélioration sont documentées.</t>
  </si>
  <si>
    <t>référent avec KPI d'adoption et reporting mesuré et amélioré activement</t>
  </si>
  <si>
    <t>réseau de référents digitaux sur le site est pleinement optimisé, automatisé et s'améliore en continu. Les résultats dépassent les objectifs sur 12 mois.</t>
  </si>
  <si>
    <t>réseau de référents digitaux sur le site excellence, amélioration continue documentée</t>
  </si>
  <si>
    <t>Un processus de collecte et traitement des REX digitaux est-il actif ?</t>
  </si>
  <si>
    <t>Aucun élément observable relatif à processus REX digitaux. Situation entièrement manuelle ou analogique.</t>
  </si>
  <si>
    <t>Absence totale de processus REX digitaux</t>
  </si>
  <si>
    <t>Toute trace de retours verbaux informels</t>
  </si>
  <si>
    <t>Mettre en place retours verbaux informels de base</t>
  </si>
  <si>
    <t>retours verbaux informels existe de manière informelle ou isolée, sans standardisation ni documentation formelle.</t>
  </si>
  <si>
    <t>Au moins une instance de retours verbaux informels</t>
  </si>
  <si>
    <t>Documenter et étendre retours verbaux informels</t>
  </si>
  <si>
    <t>collecte REX sans traitement structuré est en place sur au moins 50 % du périmètre concerné. Documentation partielle disponible.</t>
  </si>
  <si>
    <t>collecte REX sans traitement structuré couvrant ≥ 50 % du périmètre</t>
  </si>
  <si>
    <t>processus REX documenté avec traitement couvre l'ensemble du périmètre et est documenté, approuvé et opérationnel.</t>
  </si>
  <si>
    <t>processus REX documenté avec traitement complet, documenté, approuvé</t>
  </si>
  <si>
    <t>REX intégrés dans l'amélioration des outils est mesuré, les résultats sont comparés à des objectifs et des actions d'amélioration sont documentées.</t>
  </si>
  <si>
    <t>REX intégrés dans l'amélioration des outils mesuré et amélioré activement</t>
  </si>
  <si>
    <t>REX automatisés avec analyse sémantique est pleinement optimisé, automatisé et s'améliore en continu. Les résultats dépassent les objectifs sur 12 mois.</t>
  </si>
  <si>
    <t>REX automatisés avec analyse sémantique excellence, amélioration continue documentée</t>
  </si>
  <si>
    <t>Des POC digitaux sont-ils planifiés et documentés selon une méthode ?</t>
  </si>
  <si>
    <t>Aucun élément observable relatif à POC digitaux planifiés. Situation entièrement manuelle ou analogique.</t>
  </si>
  <si>
    <t>Absence totale de POC digitaux planifiés</t>
  </si>
  <si>
    <t>Toute trace de expérimentation spontanée non documentée</t>
  </si>
  <si>
    <t>Mettre en place expérimentation spontanée non documentée de base</t>
  </si>
  <si>
    <t>expérimentation spontanée non documentée existe de manière informelle ou isolée, sans standardisation ni documentation formelle.</t>
  </si>
  <si>
    <t>Au moins une instance de expérimentation spontanée non documentée</t>
  </si>
  <si>
    <t>Documenter et étendre expérimentation spontanée non documentée</t>
  </si>
  <si>
    <t>≥ 1 POC réalisé sans méthode formelle est en place sur au moins 50 % du périmètre concerné. Documentation partielle disponible.</t>
  </si>
  <si>
    <t>≥ 1 POC réalisé sans méthode formelle couvrant ≥ 50 % du périmètre</t>
  </si>
  <si>
    <t>≥ 1 POC avec méthode, objectifs et résultats couvre l'ensemble du périmètre et est documenté, approuvé et opérationnel.</t>
  </si>
  <si>
    <t>≥ 1 POC avec méthode, objectifs et résultats complet, documenté, approuvé</t>
  </si>
  <si>
    <t>≥ 2 POC/an avec décision de passage à l'échelle est mesuré, les résultats sont comparés à des objectifs et des actions d'amélioration sont documentées.</t>
  </si>
  <si>
    <t>≥ 2 POC/an avec décision de passage à l'échelle mesuré et amélioré activement</t>
  </si>
  <si>
    <t>POC intégrés dans roadmap d'innovation est pleinement optimisé, automatisé et s'améliore en continu. Les résultats dépassent les objectifs sur 12 mois.</t>
  </si>
  <si>
    <t>POC intégrés dans roadmap d'innovation excellence, amélioration continue documentée</t>
  </si>
  <si>
    <t>Les succès digitaux sont-ils documentés et répliqués sur d'autres unités ?</t>
  </si>
  <si>
    <t>Aucun élément observable relatif à succès digitaux répliqués. Situation entièrement manuelle ou analogique.</t>
  </si>
  <si>
    <t>Absence totale de succès digitaux répliqués</t>
  </si>
  <si>
    <t>Toute trace de succès reconnus verbalement</t>
  </si>
  <si>
    <t>Mettre en place succès reconnus verbalement de base</t>
  </si>
  <si>
    <t>succès reconnus verbalement existe de manière informelle ou isolée, sans standardisation ni documentation formelle.</t>
  </si>
  <si>
    <t>Au moins une instance de succès reconnus verbalement</t>
  </si>
  <si>
    <t>Documenter et étendre succès reconnus verbalement</t>
  </si>
  <si>
    <t>≥ 1 succès documenté sans réplication est en place sur au moins 50 % du périmètre concerné. Documentation partielle disponible.</t>
  </si>
  <si>
    <t>≥ 1 succès documenté sans réplication couvrant ≥ 50 % du périmètre</t>
  </si>
  <si>
    <t>≥ 1 succès documenté et répliqué couvre l'ensemble du périmètre et est documenté, approuvé et opérationnel.</t>
  </si>
  <si>
    <t>≥ 1 succès documenté et répliqué complet, documenté, approuvé</t>
  </si>
  <si>
    <t>≥ 2 réplications avec ROI documenté est mesuré, les résultats sont comparés à des objectifs et des actions d'amélioration sont documentées.</t>
  </si>
  <si>
    <t>≥ 2 réplications avec ROI documenté mesuré et amélioré activement</t>
  </si>
  <si>
    <t>programme de réplication systématique est pleinement optimisé, automatisé et s'améliore en continu. Les résultats dépassent les objectifs sur 12 mois.</t>
  </si>
  <si>
    <t>programme de réplication systématique excellence, amélioration continue documentée</t>
  </si>
  <si>
    <t>Une veille techno et des partenariats d'innovation formalisés sont-ils actifs ?</t>
  </si>
  <si>
    <t>Aucun élément observable relatif à veille techno et partenariats. Situation entièrement manuelle ou analogique.</t>
  </si>
  <si>
    <t>Absence totale de veille techno et partenariats</t>
  </si>
  <si>
    <t>Toute trace de veille informelle individuelle</t>
  </si>
  <si>
    <t>Mettre en place veille informelle individuelle de base</t>
  </si>
  <si>
    <t>veille informelle individuelle existe de manière informelle ou isolée, sans standardisation ni documentation formelle.</t>
  </si>
  <si>
    <t>Au moins une instance de veille informelle individuelle</t>
  </si>
  <si>
    <t>Documenter et étendre veille informelle individuelle</t>
  </si>
  <si>
    <t>veille structurée sans partenariat est en place sur au moins 50 % du périmètre concerné. Documentation partielle disponible.</t>
  </si>
  <si>
    <t>veille structurée sans partenariat couvrant ≥ 50 % du périmètre</t>
  </si>
  <si>
    <t>≥ 1 partenariat formalisé actif couvre l'ensemble du périmètre et est documenté, approuvé et opérationnel.</t>
  </si>
  <si>
    <t>≥ 1 partenariat formalisé actif complet, documenté, approuvé</t>
  </si>
  <si>
    <t>veille + ≥ 2 partenariats actifs avec livrables est mesuré, les résultats sont comparés à des objectifs et des actions d'amélioration sont documentées.</t>
  </si>
  <si>
    <t>veille + ≥ 2 partenariats actifs avec livrables mesuré et amélioré activement</t>
  </si>
  <si>
    <t>écosystème d'innovation reconnu externalement est pleinement optimisé, automatisé et s'améliore en continu. Les résultats dépassent les objectifs sur 12 mois.</t>
  </si>
  <si>
    <t>écosystème d'innovation reconnu externalement excellence, amélioration continue documentée</t>
  </si>
  <si>
    <t>EVIDENCE_CATALOG — Catalogue des types de preuves acceptables</t>
  </si>
  <si>
    <t>Evidence_ID</t>
  </si>
  <si>
    <t>Evidence_Category</t>
  </si>
  <si>
    <t>Evidence_Name</t>
  </si>
  <si>
    <t>Evidence_Description</t>
  </si>
  <si>
    <t>Applicable_Dimensions</t>
  </si>
  <si>
    <t>Reliability_Level</t>
  </si>
  <si>
    <t>Example</t>
  </si>
  <si>
    <t>Confidentiality_Considerations</t>
  </si>
  <si>
    <t>EV-001</t>
  </si>
  <si>
    <t>Architecture &amp; Schémas</t>
  </si>
  <si>
    <t>Schéma réseau OT/IT</t>
  </si>
  <si>
    <t>Représentation graphique de l'architecture réseau industrielle incluant les équipements, connexions et zones de sécurité</t>
  </si>
  <si>
    <t>D1, D2, D7</t>
  </si>
  <si>
    <t>Élevée</t>
  </si>
  <si>
    <t>Architecture réseau Youssoufia Mining 5.0 (Q12203-01-DG-DAL-00001)</t>
  </si>
  <si>
    <t>Confidentiel - Ne pas diffuser hors mission d'évaluation</t>
  </si>
  <si>
    <t>EV-002</t>
  </si>
  <si>
    <t>Architecture de système de contrôle</t>
  </si>
  <si>
    <t>Documentation de l'architecture DCS/SCADA incluant les contrôleurs, serveurs et postes opérateurs</t>
  </si>
  <si>
    <t>D1, D3, D4</t>
  </si>
  <si>
    <t>Control System Architecture Q12203-01-IC-DBD-00001</t>
  </si>
  <si>
    <t>Confidentiel</t>
  </si>
  <si>
    <t>EV-003</t>
  </si>
  <si>
    <t>Matrice d'interfaces inter-systèmes</t>
  </si>
  <si>
    <t>Tableau listant toutes les interfaces entre systèmes avec protocoles, formats et fréquences d'échange</t>
  </si>
  <si>
    <t>D2, D3, D4</t>
  </si>
  <si>
    <t>Document d'interfaces DCS-SCADA-MES</t>
  </si>
  <si>
    <t>Interne</t>
  </si>
  <si>
    <t>EV-004</t>
  </si>
  <si>
    <t>Configurations</t>
  </si>
  <si>
    <t>Configuration historian</t>
  </si>
  <si>
    <t>Paramètres de configuration du système d'historisation : tags collectés, fréquences, durées de rétention</t>
  </si>
  <si>
    <t>Liste des tags historian avec paramètres</t>
  </si>
  <si>
    <t>EV-005</t>
  </si>
  <si>
    <t>Configuration OPC UA</t>
  </si>
  <si>
    <t>Paramètres de déploiement et configuration du serveur OPC UA et des connexions clients</t>
  </si>
  <si>
    <t>D2, D3</t>
  </si>
  <si>
    <t>Configuration OPC UA Server VM</t>
  </si>
  <si>
    <t>EV-006</t>
  </si>
  <si>
    <t>Règles de firewall et de segmentation</t>
  </si>
  <si>
    <t>Politique de règles du pare-feu entre zones OT et IT, documentant les flux autorisés et bloqués</t>
  </si>
  <si>
    <t>Règles firewall L2/L3 et DMZ L3.5</t>
  </si>
  <si>
    <t>Très confidentiel - Restreint</t>
  </si>
  <si>
    <t>EV-007</t>
  </si>
  <si>
    <t>Configuration Active Directory OT</t>
  </si>
  <si>
    <t>Paramètres de l'AD dédié aux systèmes OT : politiques de mots de passe, groupes, rôles</t>
  </si>
  <si>
    <t>OT AD Configuration Q12203-00-DG-SPC-00013</t>
  </si>
  <si>
    <t>EV-008</t>
  </si>
  <si>
    <t>Procédures</t>
  </si>
  <si>
    <t>Procédure de gestion du changement</t>
  </si>
  <si>
    <t>Document décrivant le processus de validation et de déploiement des modifications sur les systèmes digitaux</t>
  </si>
  <si>
    <t>Procédure MOC (Management of Change) digitale</t>
  </si>
  <si>
    <t>EV-009</t>
  </si>
  <si>
    <t>Procédure de gestion des alarmes</t>
  </si>
  <si>
    <t>Document décrivant la philosophie, la priorisation et la gestion des alarmes DCS/SCADA</t>
  </si>
  <si>
    <t>D3, D4</t>
  </si>
  <si>
    <t>Alarm Management Spec Q12203-00-DG-SPC-00008</t>
  </si>
  <si>
    <t>EV-010</t>
  </si>
  <si>
    <t>Document décrivant les procédures de récupération après incident pour les systèmes OT critiques</t>
  </si>
  <si>
    <t>DRP OT - Procédure de reprise des systèmes de contrôle</t>
  </si>
  <si>
    <t>EV-011</t>
  </si>
  <si>
    <t>Politiques</t>
  </si>
  <si>
    <t>Politique de cybersécurité OT</t>
  </si>
  <si>
    <t>Document de politique décrivant les règles et exigences de sécurité pour les systèmes OT du site</t>
  </si>
  <si>
    <t>D7, D8</t>
  </si>
  <si>
    <t>OT Cybersecurity Spec Q12203-00-DG-SPC-00006</t>
  </si>
  <si>
    <t>EV-012</t>
  </si>
  <si>
    <t>Politique qualité des données</t>
  </si>
  <si>
    <t>Document de politique décrivant les règles de qualité, de gouvernance et de gestion des données industrielles</t>
  </si>
  <si>
    <t>D5, D8</t>
  </si>
  <si>
    <t>Politique de gouvernance des données industrielles</t>
  </si>
  <si>
    <t>EV-013</t>
  </si>
  <si>
    <t>Politique de transformation digitale</t>
  </si>
  <si>
    <t>Document stratégique décrivant la vision, les objectifs et le cadre de la transformation digitale du site</t>
  </si>
  <si>
    <t>D8, D10</t>
  </si>
  <si>
    <t>Stratégie de digitalisation industrielle du site</t>
  </si>
  <si>
    <t>EV-014</t>
  </si>
  <si>
    <t>Rapports</t>
  </si>
  <si>
    <t>Rapport de disponibilité réseau</t>
  </si>
  <si>
    <t>Rapport périodique du NMS indiquant la disponibilité mesurée du réseau OT sur une période définie</t>
  </si>
  <si>
    <t>Rapport mensuel NMS - Disponibilité réseau</t>
  </si>
  <si>
    <t>EV-015</t>
  </si>
  <si>
    <t>Rapport d'audit cybersécurité OT</t>
  </si>
  <si>
    <t>Compte-rendu d'audit de sécurité des systèmes OT incluant les vulnérabilités identifiées et recommandations</t>
  </si>
  <si>
    <t>Rapport pentest OT - Année courante</t>
  </si>
  <si>
    <t>Très confidentiel</t>
  </si>
  <si>
    <t>EV-016</t>
  </si>
  <si>
    <t>Rapport de performance des modèles IA/ML</t>
  </si>
  <si>
    <t>Documentation des résultats, métriques de performance et gains opérationnels des modèles IA déployés</t>
  </si>
  <si>
    <t>Rapport de performance modèle APC - Unité de broyage</t>
  </si>
  <si>
    <t>EV-017</t>
  </si>
  <si>
    <t>Logs</t>
  </si>
  <si>
    <t>Journal des incidents réseau</t>
  </si>
  <si>
    <t>Historique des incidents réseau OT avec date, nature, durée et action corrective</t>
  </si>
  <si>
    <t>D1, D7</t>
  </si>
  <si>
    <t>Logs NMS - Incidents réseau 12 derniers mois</t>
  </si>
  <si>
    <t>EV-018</t>
  </si>
  <si>
    <t>Journal des accès distants OT</t>
  </si>
  <si>
    <t>Historique des connexions distantes aux systèmes OT avec identification de l'utilisateur et actions</t>
  </si>
  <si>
    <t>Très élevée</t>
  </si>
  <si>
    <t>Logs Jump Host - Accès distants</t>
  </si>
  <si>
    <t>EV-019</t>
  </si>
  <si>
    <t>Journal des patches OT déployés</t>
  </si>
  <si>
    <t>Historique des mises à jour et patches appliqués aux systèmes OT avec dates et résultats</t>
  </si>
  <si>
    <t>Journal patch management OT - 12 mois</t>
  </si>
  <si>
    <t>EV-020</t>
  </si>
  <si>
    <t>Historiques</t>
  </si>
  <si>
    <t>Données historiques de production</t>
  </si>
  <si>
    <t>Données extraites de l'historian sur une période ≥ 12 mois pour les variables de procédé critiques</t>
  </si>
  <si>
    <t>Extraction historian - Variables critiques process</t>
  </si>
  <si>
    <t>EV-021</t>
  </si>
  <si>
    <t>Historique des alarmes</t>
  </si>
  <si>
    <t>Statistiques des alarmes DCS/SCADA sur une période ≥ 3 mois : fréquences, taux de nuisances</t>
  </si>
  <si>
    <t>Rapport statistiques alarmes - 3 mois</t>
  </si>
  <si>
    <t>EV-022</t>
  </si>
  <si>
    <t>KPI</t>
  </si>
  <si>
    <t>Tableaux de bord KPI opérationnels</t>
  </si>
  <si>
    <t>Captures ou accès aux tableaux de bord affichant les KPI de production en temps réel</t>
  </si>
  <si>
    <t>Moyenne</t>
  </si>
  <si>
    <t>Dashboard production - KPI temps réel</t>
  </si>
  <si>
    <t>EV-023</t>
  </si>
  <si>
    <t>Rapport de production</t>
  </si>
  <si>
    <t>Rapport périodique (hebdomadaire ou mensuel) de suivi de la production avec KPI et analyse d'écarts</t>
  </si>
  <si>
    <t>D3, D6</t>
  </si>
  <si>
    <t>Rapport hebdomadaire de production</t>
  </si>
  <si>
    <t>EV-024</t>
  </si>
  <si>
    <t>KPI de maintenance</t>
  </si>
  <si>
    <t>Indicateurs de performance de la maintenance : MTBF, MTTR, taux d'arrêts planifiés vs non planifiés</t>
  </si>
  <si>
    <t>Dashboard maintenance - MTBF/MTTR</t>
  </si>
  <si>
    <t>EV-025</t>
  </si>
  <si>
    <t>Résultats de tests</t>
  </si>
  <si>
    <t>Compte-rendu de test DRP</t>
  </si>
  <si>
    <t>Document attestant de la réalisation et des résultats d'un test de plan de reprise d'activité OT</t>
  </si>
  <si>
    <t>CR Test DRP OT - Date du test</t>
  </si>
  <si>
    <t>EV-026</t>
  </si>
  <si>
    <t>Compte-rendu de test de bascule réseau</t>
  </si>
  <si>
    <t>Document attestant de la réalisation et du résultat d'un test de bascule sur les chemins redondants</t>
  </si>
  <si>
    <t>CR Test bascule réseau - Date</t>
  </si>
  <si>
    <t>EV-027</t>
  </si>
  <si>
    <t>Audits</t>
  </si>
  <si>
    <t>Matrice de conformité réglementaire</t>
  </si>
  <si>
    <t>Tableau listant les exigences réglementaires applicables et le statut de conformité du site</t>
  </si>
  <si>
    <t>Matrice conformité IEC 62443 / RGPD industriel</t>
  </si>
  <si>
    <t>EV-028</t>
  </si>
  <si>
    <t>Plans de formation</t>
  </si>
  <si>
    <t>Plan de formation digitale</t>
  </si>
  <si>
    <t>Document présentant les formations prévues, les participants cibles, le calendrier et le budget</t>
  </si>
  <si>
    <t>Plan de formation annuel - Compétences digitales</t>
  </si>
  <si>
    <t>EV-029</t>
  </si>
  <si>
    <t>Compte-rendu d'entretien évaluateur</t>
  </si>
  <si>
    <t>Notes structurées d'un entretien avec un opérateur, technicien ou responsable sur une dimension évaluée</t>
  </si>
  <si>
    <t>Toutes</t>
  </si>
  <si>
    <t>Faible</t>
  </si>
  <si>
    <t>CR entretien opérateur - Adoption SCADA</t>
  </si>
  <si>
    <t>Confidentiel - Anonymiser</t>
  </si>
  <si>
    <t>EV-030</t>
  </si>
  <si>
    <t>Observations terrain</t>
  </si>
  <si>
    <t>Fiche d'observation terrain</t>
  </si>
  <si>
    <t>Formulaire documentant une observation directe sur le terrain : équipements, affichages, pratiques</t>
  </si>
  <si>
    <t>Fiche observation salle de contrôle - Utilisation HMI</t>
  </si>
  <si>
    <t>QUESTIONNAIRE_TEMPLATE — Feuille de saisie terrain (60 lignes)</t>
  </si>
  <si>
    <t>Selected_Score</t>
  </si>
  <si>
    <t>Evidence_Reference</t>
  </si>
  <si>
    <t>Evaluator_Comment</t>
  </si>
  <si>
    <t>Confidence_Level</t>
  </si>
  <si>
    <t>Applicability</t>
  </si>
  <si>
    <t>Quel est le % des équipements de terrain connectés au réseau OT ?</t>
  </si>
  <si>
    <t>Moyen</t>
  </si>
  <si>
    <t>Applicable</t>
  </si>
  <si>
    <t>Brouillon</t>
  </si>
  <si>
    <t>Un plan de reprise d'activité OT est-il documenté, approuvé et testé ?</t>
  </si>
  <si>
    <t>La latence et le taux de disponibilité des échanges OT/IT sont-ils mesurés vs SLA ?</t>
  </si>
  <si>
    <t>Quel % des boucles critiques est piloté par un DCS ou PLC ?</t>
  </si>
  <si>
    <t>La configuration complète du DCS est-elle documentée et à jour ?</t>
  </si>
  <si>
    <t>Le système d'alarmes DCS fait-il l'objet d'une gestion active et rationalisée ?</t>
  </si>
  <si>
    <t>Un MES est-il déployé, interfacé au DCS et utilisé pour la traçabilité ?</t>
  </si>
  <si>
    <t>L'ordonnancement de production est-il réalisé par un outil automatisé ?</t>
  </si>
  <si>
    <t>Les écarts planifié/réel sont-ils mesurés automatiquement et documentés ?</t>
  </si>
  <si>
    <t>Quel % des équipements est supervisé via SCADA centralisé ?</t>
  </si>
  <si>
    <t>Les IHM sont-elles standardisées selon une charte documentée ?</t>
  </si>
  <si>
    <t>Le taux d'alarmes nuisances SCADA est-il mesuré et géré ?</t>
  </si>
  <si>
    <t>Quel % des équipements critiques a des capteurs de condition ?</t>
  </si>
  <si>
    <t>Un système CBMS est-il opérationnel et utilisé par la maintenance ?</t>
  </si>
  <si>
    <t>Des modèles prédictifs de défaillance sont-ils actifs en production ?</t>
  </si>
  <si>
    <t>La rétention historian est-elle ≥ 12 mois sur les variables critiques ?</t>
  </si>
  <si>
    <t>Un référentiel de données industrielles est-il documenté et maintenu ?</t>
  </si>
  <si>
    <t>La qualité des données est-elle mesurée automatiquement vs objectif ?</t>
  </si>
  <si>
    <t>Des tableaux de bord KPI sont-ils disponibles en temps réel sans saisie manuelle ?</t>
  </si>
  <si>
    <t>Une plateforme BI industrielle est-elle déployée et utilisée régulièrement ?</t>
  </si>
  <si>
    <t>Au moins 1 modèle ML est-il en production sur données industrielles réelles ?</t>
  </si>
  <si>
    <t>Le pipeline de données ML est-il documenté, automatisé et opérationnel ?</t>
  </si>
  <si>
    <t>Les modèles IA ont-ils produit un gain documenté et quantifié sur un KPI ?</t>
  </si>
  <si>
    <t>Une DMZ OT (L3.5) dédiée est-elle déployée et opérationnelle ?</t>
  </si>
  <si>
    <t>Un Active Directory OT dédié est-il déployé et opérationnel ?</t>
  </si>
  <si>
    <t>Les modifications des systèmes digitaux suivent-elles un processus formalisé ?</t>
  </si>
  <si>
    <t>Un plan d'audit OT/IT est-il planifié et exécuté avec rapport disponible ?</t>
  </si>
  <si>
    <t>La conformité réglementaire digitale est-elle documentée et maintenue à jour ?</t>
  </si>
  <si>
    <t>Une cartographie des compétences digitales a-t-elle été réalisée et documentée ?</t>
  </si>
  <si>
    <t>Les compétences digitales requises sont-elles intégrées dans les fiches de poste ?</t>
  </si>
  <si>
    <t>Le taux d'exécution du plan de formation est-il mesuré et suivi ?</t>
  </si>
  <si>
    <t>Un référent digital est-il identifié avec fiche de mission et actions documentées ?</t>
  </si>
  <si>
    <t>Des POC digitaux sont-ils planifiés et documentés selon une méthode structurée ?</t>
  </si>
  <si>
    <t>═══ ZONE DE CALCUL AUTOMATIQUE (NE PAS MODIFIER) ═══</t>
  </si>
  <si>
    <t>CALCULATION_RULES — Règles de calcul du moteur d'évaluation (Assessment Engine)</t>
  </si>
  <si>
    <t>1. RÈGLES DE NOTATION DES INDICATEURS</t>
  </si>
  <si>
    <t>R1 — Note entière</t>
  </si>
  <si>
    <t>Chaque indicateur reçoit une note entière comprise entre 0 et 5 inclus. Les notes décimales sont exclues : elles introduiraient une fausse précision incompatible avec la reproductibilité inter-évaluateurs. Source : Chapitre 4 JESA, section 4.4.2.</t>
  </si>
  <si>
    <t>Indicateurs non applicables</t>
  </si>
  <si>
    <t>Si un indicateur est marqué 'Non applicable' dans QUESTIONNAIRE_TEMPLATE (colonne Applicability), il est exclu du calcul de la moyenne plafonnée. La formule s'applique sur les N indicateurs applicables restants (N pouvant être 1 ou 2). Si tous les indicateurs d'une SD sont non applicables, le score SD = NA et la SD est exclue du calcul de la dimension avec rééquilibrage des poids.</t>
  </si>
  <si>
    <t>Poids invalides</t>
  </si>
  <si>
    <t>Si la somme des poids effectifs d'un niveau ne vaut pas 1,0 (±0,001), l'Assessment Engine doit refuser le calcul et afficher un message d'erreur identifiant le niveau et le parent concernés. Contrôle documenté dans QUALITY_CONTROL.</t>
  </si>
  <si>
    <t>Contrôle des cibles</t>
  </si>
  <si>
    <t>La cible doit être un entier entre 0 et 5. Si Target_Level_User est inférieur au score actuel calculé, l'Assessment Engine affiche un avertissement mais ne bloque pas le calcul. L'évaluateur doit documenter la justification dans TARGET_LEVELS.</t>
  </si>
  <si>
    <t>• NIVEAU ACTUEL : Score calculé automatiquement à partir des réponses aux indicateurs. 
• NIVEAU CIBLE : Valeur entière [0-5] saisie par l'évaluateur dans TARGET_LEVELS, pour chaque dimension, représentant le niveau de maturité souhaité.</t>
  </si>
  <si>
    <t>Ce classeur constitue la source officielle de configuration d'entrée inserer par l'utilisateur d'outil d'évaluation de la maturité digitale industrielle JESA. Il couvre 5 piliers, 10 dimensions, 20 sous-dimensions et 60 indicateurs, conformément à l'architecture définie au Chapitre 4 du rapport de PFA.</t>
  </si>
  <si>
    <t xml:space="preserve">⚠ RÈGLE : Le niveau cible (colonne D) doit être saisi par l'évaluateur. Si omis, la valeur par défaut (colonne C) s'applique. </t>
  </si>
  <si>
    <t>2. GESTION DES CAS PARTICULIERS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</si>
</sst>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2"/>
      <color rgb="FFFFFFFF"/>
      <name val="Arial"/>
      <charset val="1"/>
    </font>
    <font>
      <b/>
      <sz val="10"/>
      <color rgb="FFFFFFFF"/>
      <name val="Arial"/>
      <charset val="1"/>
    </font>
    <font>
      <sz val="9"/>
      <color rgb="FF1F2937"/>
      <name val="Arial"/>
      <charset val="1"/>
    </font>
    <font>
      <b/>
      <sz val="9"/>
      <color rgb="FFFFFFFF"/>
      <name val="Arial"/>
      <charset val="1"/>
    </font>
    <font>
      <b/>
      <sz val="9"/>
      <color rgb="FF1F2937"/>
      <name val="Arial"/>
      <charset val="1"/>
    </font>
    <font>
      <sz val="9"/>
      <color rgb="FFFFFFFF"/>
      <name val="Arial"/>
      <charset val="1"/>
    </font>
    <font>
      <sz val="9"/>
      <color rgb="FF0070C0"/>
      <name val="Arial"/>
      <charset val="1"/>
    </font>
    <font>
      <i/>
      <sz val="9"/>
      <color rgb="FFC00000"/>
      <name val="Arial"/>
      <charset val="1"/>
    </font>
    <font>
      <b/>
      <sz val="9"/>
      <name val="Arial"/>
      <charset val="1"/>
    </font>
    <font>
      <b/>
      <sz val="11"/>
      <color rgb="FF1F2937"/>
      <name val="Arial"/>
      <charset val="1"/>
    </font>
    <font>
      <b/>
      <sz val="9"/>
      <color rgb="FFC00000"/>
      <name val="Arial"/>
      <charset val="1"/>
    </font>
  </fonts>
  <fills count="15">
    <fill>
      <patternFill patternType="none"/>
    </fill>
    <fill>
      <patternFill patternType="gray125"/>
    </fill>
    <fill>
      <patternFill patternType="solid">
        <fgColor rgb="FF2E75B6"/>
        <bgColor rgb="FF4472C4"/>
      </patternFill>
    </fill>
    <fill>
      <patternFill patternType="solid">
        <fgColor rgb="FF1F4E79"/>
        <bgColor rgb="FF003366"/>
      </patternFill>
    </fill>
    <fill>
      <patternFill patternType="solid">
        <fgColor rgb="FFFFFFFF"/>
        <bgColor rgb="FFF8FBFF"/>
      </patternFill>
    </fill>
    <fill>
      <patternFill patternType="solid">
        <fgColor rgb="FFEBF3FB"/>
        <bgColor rgb="FFF2F2F2"/>
      </patternFill>
    </fill>
    <fill>
      <patternFill patternType="solid">
        <fgColor rgb="FFDEEAF1"/>
        <bgColor rgb="FFE2EFDA"/>
      </patternFill>
    </fill>
    <fill>
      <patternFill patternType="solid">
        <fgColor rgb="FFE2EFDA"/>
        <bgColor rgb="FFDEEAF1"/>
      </patternFill>
    </fill>
    <fill>
      <patternFill patternType="solid">
        <fgColor rgb="FFFFF2CC"/>
        <bgColor rgb="FFFCE4D6"/>
      </patternFill>
    </fill>
    <fill>
      <patternFill patternType="solid">
        <fgColor rgb="FFFCE4D6"/>
        <bgColor rgb="FFFFF2CC"/>
      </patternFill>
    </fill>
    <fill>
      <patternFill patternType="solid">
        <fgColor rgb="FFEAD1DC"/>
        <bgColor rgb="FFFCE4D6"/>
      </patternFill>
    </fill>
    <fill>
      <patternFill patternType="solid">
        <fgColor rgb="FFF2F2F2"/>
        <bgColor rgb="FFEBF3FB"/>
      </patternFill>
    </fill>
    <fill>
      <patternFill patternType="solid">
        <fgColor rgb="FFBDD7EE"/>
        <bgColor rgb="FFDEEAF1"/>
      </patternFill>
    </fill>
    <fill>
      <patternFill patternType="solid">
        <fgColor rgb="FF9DC3E6"/>
        <bgColor rgb="FFADB9CA"/>
      </patternFill>
    </fill>
    <fill>
      <patternFill patternType="solid">
        <fgColor rgb="FFF8FBFF"/>
        <bgColor rgb="FFFFFFFF"/>
      </patternFill>
    </fill>
  </fills>
  <borders count="4">
    <border>
      <left/>
      <right/>
      <top/>
      <bottom/>
      <diagonal/>
    </border>
    <border>
      <left style="thin">
        <color rgb="FFADB9CA"/>
      </left>
      <right style="thin">
        <color rgb="FFADB9CA"/>
      </right>
      <top style="thin">
        <color rgb="FFADB9CA"/>
      </top>
      <bottom style="thin">
        <color rgb="FFADB9CA"/>
      </bottom>
      <diagonal/>
    </border>
    <border>
      <left/>
      <right/>
      <top style="thin">
        <color rgb="FFADB9CA"/>
      </top>
      <bottom style="thin">
        <color rgb="FFADB9CA"/>
      </bottom>
      <diagonal/>
    </border>
    <border>
      <left/>
      <right/>
      <top/>
      <bottom style="thin">
        <color rgb="FFADB9CA"/>
      </bottom>
      <diagonal/>
    </border>
  </borders>
  <cellStyleXfs count="1">
    <xf numFmtId="0" fontId="0" fillId="0" borderId="0"/>
  </cellStyleXfs>
  <cellXfs count="44">
    <xf numFmtId="0" fontId="0" fillId="0" borderId="0" xfId="0"/>
    <xf numFmtId="0" fontId="4" fillId="3" borderId="1" xfId="0" applyFont="1" applyFill="1" applyBorder="1" applyAlignment="1">
      <alignment horizontal="center" vertical="center" wrapText="1"/>
    </xf>
    <xf numFmtId="0" fontId="5" fillId="4"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3" fillId="10" borderId="1" xfId="0" applyFont="1" applyFill="1" applyBorder="1" applyAlignment="1">
      <alignment horizontal="left" vertical="top" wrapText="1"/>
    </xf>
    <xf numFmtId="0" fontId="5" fillId="11" borderId="1" xfId="0" applyFont="1" applyFill="1" applyBorder="1" applyAlignment="1">
      <alignment horizontal="center" vertical="top" wrapText="1"/>
    </xf>
    <xf numFmtId="0" fontId="3" fillId="11" borderId="1" xfId="0" applyFont="1" applyFill="1" applyBorder="1" applyAlignment="1">
      <alignment horizontal="left" vertical="top" wrapText="1"/>
    </xf>
    <xf numFmtId="0" fontId="5" fillId="6" borderId="1" xfId="0" applyFont="1" applyFill="1" applyBorder="1" applyAlignment="1">
      <alignment horizontal="center" vertical="top" wrapText="1"/>
    </xf>
    <xf numFmtId="0" fontId="5" fillId="12" borderId="1" xfId="0" applyFont="1" applyFill="1" applyBorder="1" applyAlignment="1">
      <alignment horizontal="center" vertical="top" wrapText="1"/>
    </xf>
    <xf numFmtId="0" fontId="3" fillId="12" borderId="1" xfId="0" applyFont="1" applyFill="1" applyBorder="1" applyAlignment="1">
      <alignment horizontal="left" vertical="top" wrapText="1"/>
    </xf>
    <xf numFmtId="0" fontId="5" fillId="13" borderId="1" xfId="0" applyFont="1" applyFill="1" applyBorder="1" applyAlignment="1">
      <alignment horizontal="center" vertical="top" wrapText="1"/>
    </xf>
    <xf numFmtId="0" fontId="3" fillId="13" borderId="1" xfId="0" applyFont="1" applyFill="1" applyBorder="1" applyAlignment="1">
      <alignment horizontal="left" vertical="top" wrapText="1"/>
    </xf>
    <xf numFmtId="0" fontId="4" fillId="2" borderId="1" xfId="0" applyFont="1" applyFill="1" applyBorder="1" applyAlignment="1">
      <alignment horizontal="center" vertical="top" wrapText="1"/>
    </xf>
    <xf numFmtId="0" fontId="6" fillId="2" borderId="1" xfId="0" applyFont="1" applyFill="1" applyBorder="1" applyAlignment="1">
      <alignment horizontal="left" vertical="top" wrapText="1"/>
    </xf>
    <xf numFmtId="0" fontId="4" fillId="3" borderId="1" xfId="0" applyFont="1" applyFill="1" applyBorder="1" applyAlignment="1">
      <alignment horizontal="center" vertical="top" wrapText="1"/>
    </xf>
    <xf numFmtId="0" fontId="6" fillId="3" borderId="1" xfId="0" applyFont="1" applyFill="1" applyBorder="1" applyAlignment="1">
      <alignment horizontal="left" vertical="top" wrapText="1"/>
    </xf>
    <xf numFmtId="0" fontId="5" fillId="11" borderId="1" xfId="0" applyFont="1" applyFill="1" applyBorder="1" applyAlignment="1">
      <alignment horizontal="left" vertical="top" wrapText="1"/>
    </xf>
    <xf numFmtId="0" fontId="3" fillId="14"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5" fillId="12" borderId="1" xfId="0" applyFont="1" applyFill="1" applyBorder="1" applyAlignment="1">
      <alignment horizontal="left" vertical="top" wrapText="1"/>
    </xf>
    <xf numFmtId="0" fontId="5" fillId="13"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7" fillId="0" borderId="1" xfId="0" applyFont="1" applyBorder="1" applyAlignment="1">
      <alignment horizontal="left" vertical="top" wrapText="1"/>
    </xf>
    <xf numFmtId="0" fontId="9" fillId="8"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10" fillId="8" borderId="1" xfId="0" applyFont="1" applyFill="1" applyBorder="1" applyAlignment="1">
      <alignment horizontal="center" vertical="center" wrapText="1"/>
    </xf>
    <xf numFmtId="0" fontId="3" fillId="4" borderId="0" xfId="0" applyFont="1" applyFill="1" applyAlignment="1">
      <alignment horizontal="left" vertical="top" wrapText="1"/>
    </xf>
    <xf numFmtId="0" fontId="2" fillId="3" borderId="0" xfId="0" applyFont="1" applyFill="1" applyAlignment="1">
      <alignment horizontal="left" vertical="center" wrapText="1"/>
    </xf>
    <xf numFmtId="0" fontId="1" fillId="2" borderId="0" xfId="0" applyFont="1" applyFill="1" applyAlignment="1">
      <alignment horizontal="center" vertical="center" wrapText="1"/>
    </xf>
    <xf numFmtId="0" fontId="8" fillId="8" borderId="0" xfId="0" applyFont="1" applyFill="1"/>
    <xf numFmtId="0" fontId="8" fillId="8" borderId="0" xfId="0" applyFont="1" applyFill="1" applyAlignment="1">
      <alignment horizontal="left" vertical="top" wrapText="1"/>
    </xf>
    <xf numFmtId="0" fontId="11" fillId="0" borderId="0" xfId="0" applyFont="1"/>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2E75B6"/>
      <rgbColor rgb="FFADB9CA"/>
      <rgbColor rgb="FF808080"/>
      <rgbColor rgb="FF9999FF"/>
      <rgbColor rgb="FF7030A0"/>
      <rgbColor rgb="FFFFF2CC"/>
      <rgbColor rgb="FFEBF3FB"/>
      <rgbColor rgb="FF660066"/>
      <rgbColor rgb="FFFF8080"/>
      <rgbColor rgb="FF0070C0"/>
      <rgbColor rgb="FFBDD7EE"/>
      <rgbColor rgb="FF000080"/>
      <rgbColor rgb="FFFF00FF"/>
      <rgbColor rgb="FFFFFF00"/>
      <rgbColor rgb="FF00FFFF"/>
      <rgbColor rgb="FF800080"/>
      <rgbColor rgb="FF800000"/>
      <rgbColor rgb="FF008080"/>
      <rgbColor rgb="FF0000FF"/>
      <rgbColor rgb="FF00CCFF"/>
      <rgbColor rgb="FFDEEAF1"/>
      <rgbColor rgb="FFE2EFDA"/>
      <rgbColor rgb="FFFCE4D6"/>
      <rgbColor rgb="FF9DC3E6"/>
      <rgbColor rgb="FFF2F2F2"/>
      <rgbColor rgb="FFF8FBFF"/>
      <rgbColor rgb="FFEAD1DC"/>
      <rgbColor rgb="FF4472C4"/>
      <rgbColor rgb="FF33CCCC"/>
      <rgbColor rgb="FF99CC00"/>
      <rgbColor rgb="FFFFCC00"/>
      <rgbColor rgb="FFFF9900"/>
      <rgbColor rgb="FFED7D31"/>
      <rgbColor rgb="FF666699"/>
      <rgbColor rgb="FF969696"/>
      <rgbColor rgb="FF003366"/>
      <rgbColor rgb="FF339966"/>
      <rgbColor rgb="FF003300"/>
      <rgbColor rgb="FF375623"/>
      <rgbColor rgb="FF993300"/>
      <rgbColor rgb="FF993366"/>
      <rgbColor rgb="FF1F4E79"/>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B42"/>
  <sheetViews>
    <sheetView showGridLines="0" zoomScaleNormal="100" workbookViewId="0">
      <selection activeCell="A21" sqref="A21:B21"/>
    </sheetView>
  </sheetViews>
  <sheetFormatPr baseColWidth="10" defaultColWidth="8.6328125" defaultRowHeight="14.5" x14ac:dyDescent="0.35"/>
  <cols>
    <col min="1" max="1" width="30" customWidth="1"/>
    <col min="2" max="2" width="100" customWidth="1"/>
  </cols>
  <sheetData>
    <row r="1" spans="1:2" ht="21.75" customHeight="1" x14ac:dyDescent="0.35">
      <c r="A1" s="38" t="s">
        <v>0</v>
      </c>
      <c r="B1" s="38"/>
    </row>
    <row r="3" spans="1:2" ht="18" customHeight="1" x14ac:dyDescent="0.35">
      <c r="A3" s="37" t="s">
        <v>1</v>
      </c>
      <c r="B3" s="37"/>
    </row>
    <row r="4" spans="1:2" ht="15" customHeight="1" x14ac:dyDescent="0.35">
      <c r="A4" s="36" t="s">
        <v>2606</v>
      </c>
      <c r="B4" s="36"/>
    </row>
    <row r="5" spans="1:2" ht="6" customHeight="1" x14ac:dyDescent="0.35"/>
    <row r="6" spans="1:2" ht="18" customHeight="1" x14ac:dyDescent="0.35">
      <c r="A6" s="37" t="s">
        <v>2</v>
      </c>
      <c r="B6" s="37"/>
    </row>
    <row r="7" spans="1:2" ht="42" customHeight="1" x14ac:dyDescent="0.35">
      <c r="A7" s="36" t="s">
        <v>3</v>
      </c>
      <c r="B7" s="36"/>
    </row>
    <row r="8" spans="1:2" ht="6" customHeight="1" x14ac:dyDescent="0.35"/>
    <row r="9" spans="1:2" ht="18" customHeight="1" x14ac:dyDescent="0.35">
      <c r="A9" s="37" t="s">
        <v>4</v>
      </c>
      <c r="B9" s="37"/>
    </row>
    <row r="10" spans="1:2" ht="15" customHeight="1" x14ac:dyDescent="0.35">
      <c r="A10" s="36" t="s">
        <v>5</v>
      </c>
      <c r="B10" s="36"/>
    </row>
    <row r="11" spans="1:2" ht="15" customHeight="1" x14ac:dyDescent="0.35">
      <c r="A11" s="36" t="s">
        <v>6</v>
      </c>
      <c r="B11" s="36"/>
    </row>
    <row r="12" spans="1:2" ht="15" customHeight="1" x14ac:dyDescent="0.35">
      <c r="A12" s="36" t="s">
        <v>7</v>
      </c>
      <c r="B12" s="36"/>
    </row>
    <row r="13" spans="1:2" ht="15" customHeight="1" x14ac:dyDescent="0.35">
      <c r="A13" s="36" t="s">
        <v>8</v>
      </c>
      <c r="B13" s="36"/>
    </row>
    <row r="14" spans="1:2" ht="15" customHeight="1" x14ac:dyDescent="0.35">
      <c r="A14" s="36" t="s">
        <v>9</v>
      </c>
      <c r="B14" s="36"/>
    </row>
    <row r="15" spans="1:2" ht="15" customHeight="1" x14ac:dyDescent="0.35">
      <c r="A15" s="36" t="s">
        <v>10</v>
      </c>
      <c r="B15" s="36"/>
    </row>
    <row r="16" spans="1:2" ht="15" customHeight="1" x14ac:dyDescent="0.35">
      <c r="A16" s="36" t="s">
        <v>11</v>
      </c>
      <c r="B16" s="36"/>
    </row>
    <row r="17" spans="1:2" ht="15" customHeight="1" x14ac:dyDescent="0.35">
      <c r="A17" s="36" t="s">
        <v>12</v>
      </c>
      <c r="B17" s="36"/>
    </row>
    <row r="18" spans="1:2" ht="15" customHeight="1" x14ac:dyDescent="0.35">
      <c r="A18" s="36" t="s">
        <v>13</v>
      </c>
      <c r="B18" s="36"/>
    </row>
    <row r="19" spans="1:2" ht="15" customHeight="1" x14ac:dyDescent="0.35">
      <c r="A19" s="36" t="s">
        <v>14</v>
      </c>
      <c r="B19" s="36"/>
    </row>
    <row r="20" spans="1:2" ht="15" customHeight="1" x14ac:dyDescent="0.35">
      <c r="A20" s="36" t="s">
        <v>15</v>
      </c>
      <c r="B20" s="36"/>
    </row>
    <row r="21" spans="1:2" ht="15" customHeight="1" x14ac:dyDescent="0.35">
      <c r="A21" s="36" t="s">
        <v>16</v>
      </c>
      <c r="B21" s="36"/>
    </row>
    <row r="22" spans="1:2" ht="15" customHeight="1" x14ac:dyDescent="0.35">
      <c r="A22" s="36"/>
      <c r="B22" s="36"/>
    </row>
    <row r="23" spans="1:2" ht="15" customHeight="1" x14ac:dyDescent="0.35">
      <c r="A23" s="36"/>
      <c r="B23" s="36"/>
    </row>
    <row r="24" spans="1:2" ht="6" customHeight="1" x14ac:dyDescent="0.35"/>
    <row r="25" spans="1:2" ht="18" customHeight="1" x14ac:dyDescent="0.35">
      <c r="A25" s="37" t="s">
        <v>17</v>
      </c>
      <c r="B25" s="37"/>
    </row>
    <row r="26" spans="1:2" ht="69.75" customHeight="1" x14ac:dyDescent="0.35">
      <c r="A26" s="36" t="s">
        <v>18</v>
      </c>
      <c r="B26" s="36"/>
    </row>
    <row r="27" spans="1:2" ht="6" customHeight="1" x14ac:dyDescent="0.35"/>
    <row r="28" spans="1:2" ht="18" customHeight="1" x14ac:dyDescent="0.35">
      <c r="A28" s="37" t="s">
        <v>19</v>
      </c>
      <c r="B28" s="37"/>
    </row>
    <row r="29" spans="1:2" ht="27.75" customHeight="1" x14ac:dyDescent="0.35">
      <c r="A29" s="36" t="s">
        <v>20</v>
      </c>
      <c r="B29" s="36"/>
    </row>
    <row r="30" spans="1:2" ht="6" customHeight="1" x14ac:dyDescent="0.35"/>
    <row r="31" spans="1:2" ht="18" customHeight="1" x14ac:dyDescent="0.35">
      <c r="A31" s="37" t="s">
        <v>21</v>
      </c>
      <c r="B31" s="37"/>
    </row>
    <row r="32" spans="1:2" ht="27.75" customHeight="1" x14ac:dyDescent="0.35">
      <c r="A32" s="36" t="s">
        <v>2605</v>
      </c>
      <c r="B32" s="36"/>
    </row>
    <row r="33" spans="1:2" ht="6" customHeight="1" x14ac:dyDescent="0.35"/>
    <row r="34" spans="1:2" ht="18" customHeight="1" x14ac:dyDescent="0.35">
      <c r="A34" s="37" t="s">
        <v>22</v>
      </c>
      <c r="B34" s="37"/>
    </row>
    <row r="35" spans="1:2" ht="27.75" customHeight="1" x14ac:dyDescent="0.35">
      <c r="A35" s="36" t="s">
        <v>23</v>
      </c>
      <c r="B35" s="36"/>
    </row>
    <row r="36" spans="1:2" ht="6" customHeight="1" x14ac:dyDescent="0.35"/>
    <row r="37" spans="1:2" ht="18" customHeight="1" x14ac:dyDescent="0.35">
      <c r="A37" s="37" t="s">
        <v>24</v>
      </c>
      <c r="B37" s="37"/>
    </row>
    <row r="38" spans="1:2" ht="69.75" customHeight="1" x14ac:dyDescent="0.35">
      <c r="A38" s="36" t="s">
        <v>25</v>
      </c>
      <c r="B38" s="36"/>
    </row>
    <row r="39" spans="1:2" ht="6" customHeight="1" x14ac:dyDescent="0.35"/>
    <row r="40" spans="1:2" ht="18" customHeight="1" x14ac:dyDescent="0.35"/>
    <row r="41" spans="1:2" ht="69.75" customHeight="1" x14ac:dyDescent="0.35"/>
    <row r="42" spans="1:2" ht="6" customHeight="1" x14ac:dyDescent="0.35"/>
  </sheetData>
  <mergeCells count="30">
    <mergeCell ref="A1:B1"/>
    <mergeCell ref="A3:B3"/>
    <mergeCell ref="A4:B4"/>
    <mergeCell ref="A6:B6"/>
    <mergeCell ref="A7:B7"/>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5:B25"/>
    <mergeCell ref="A26:B26"/>
    <mergeCell ref="A28:B28"/>
    <mergeCell ref="A29:B29"/>
    <mergeCell ref="A31:B31"/>
    <mergeCell ref="A32:B32"/>
    <mergeCell ref="A34:B34"/>
    <mergeCell ref="A35:B35"/>
    <mergeCell ref="A37:B37"/>
    <mergeCell ref="A38:B38"/>
  </mergeCells>
  <pageMargins left="0.75" right="0.75" top="1" bottom="1" header="0.511811023622047" footer="0.511811023622047"/>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C14"/>
  <sheetViews>
    <sheetView showGridLines="0" zoomScale="85" zoomScaleNormal="100" workbookViewId="0">
      <pane ySplit="2" topLeftCell="A3" activePane="bottomLeft" state="frozen"/>
      <selection pane="bottomLeft" activeCell="C14" sqref="C14"/>
    </sheetView>
  </sheetViews>
  <sheetFormatPr baseColWidth="10" defaultColWidth="8.6328125" defaultRowHeight="14.5" x14ac:dyDescent="0.35"/>
  <cols>
    <col min="1" max="1" width="32" customWidth="1"/>
    <col min="2" max="2" width="50" customWidth="1"/>
    <col min="3" max="3" width="55" customWidth="1"/>
  </cols>
  <sheetData>
    <row r="1" spans="1:3" ht="21.75" customHeight="1" x14ac:dyDescent="0.35">
      <c r="A1" s="38" t="s">
        <v>26</v>
      </c>
      <c r="B1" s="38"/>
      <c r="C1" s="38"/>
    </row>
    <row r="2" spans="1:3" ht="15" customHeight="1" x14ac:dyDescent="0.35">
      <c r="A2" s="1" t="s">
        <v>27</v>
      </c>
      <c r="B2" s="1" t="s">
        <v>28</v>
      </c>
      <c r="C2" s="1" t="s">
        <v>29</v>
      </c>
    </row>
    <row r="3" spans="1:3" ht="18" customHeight="1" x14ac:dyDescent="0.35">
      <c r="A3" s="2" t="s">
        <v>30</v>
      </c>
      <c r="B3" s="3" t="s">
        <v>31</v>
      </c>
      <c r="C3" s="3" t="s">
        <v>32</v>
      </c>
    </row>
    <row r="4" spans="1:3" ht="18" customHeight="1" x14ac:dyDescent="0.35">
      <c r="A4" s="4" t="s">
        <v>33</v>
      </c>
      <c r="B4" s="5"/>
      <c r="C4" s="5" t="s">
        <v>34</v>
      </c>
    </row>
    <row r="5" spans="1:3" ht="18" customHeight="1" x14ac:dyDescent="0.35">
      <c r="A5" s="2" t="s">
        <v>35</v>
      </c>
      <c r="B5" s="3"/>
      <c r="C5" s="3" t="s">
        <v>36</v>
      </c>
    </row>
    <row r="6" spans="1:3" ht="18" customHeight="1" x14ac:dyDescent="0.35">
      <c r="A6" s="4" t="s">
        <v>37</v>
      </c>
      <c r="B6" s="5"/>
      <c r="C6" s="5" t="s">
        <v>38</v>
      </c>
    </row>
    <row r="7" spans="1:3" ht="18" customHeight="1" x14ac:dyDescent="0.35">
      <c r="A7" s="2" t="s">
        <v>39</v>
      </c>
      <c r="B7" s="3"/>
      <c r="C7" s="3" t="s">
        <v>40</v>
      </c>
    </row>
    <row r="8" spans="1:3" ht="18" customHeight="1" x14ac:dyDescent="0.35">
      <c r="A8" s="4" t="s">
        <v>41</v>
      </c>
      <c r="B8" s="5"/>
      <c r="C8" s="5" t="s">
        <v>42</v>
      </c>
    </row>
    <row r="9" spans="1:3" ht="18" customHeight="1" x14ac:dyDescent="0.35">
      <c r="A9" s="2" t="s">
        <v>43</v>
      </c>
      <c r="B9" s="3"/>
      <c r="C9" s="3" t="s">
        <v>44</v>
      </c>
    </row>
    <row r="10" spans="1:3" ht="18" customHeight="1" x14ac:dyDescent="0.35">
      <c r="A10" s="4" t="s">
        <v>45</v>
      </c>
      <c r="B10" s="5"/>
      <c r="C10" s="5" t="s">
        <v>46</v>
      </c>
    </row>
    <row r="11" spans="1:3" ht="18" customHeight="1" x14ac:dyDescent="0.35">
      <c r="A11" s="2" t="s">
        <v>47</v>
      </c>
      <c r="B11" s="3"/>
      <c r="C11" s="3" t="s">
        <v>48</v>
      </c>
    </row>
    <row r="12" spans="1:3" ht="18" customHeight="1" x14ac:dyDescent="0.35">
      <c r="A12" s="4" t="s">
        <v>49</v>
      </c>
      <c r="B12" s="5" t="s">
        <v>50</v>
      </c>
      <c r="C12" s="5" t="s">
        <v>51</v>
      </c>
    </row>
    <row r="13" spans="1:3" ht="18" customHeight="1" x14ac:dyDescent="0.35">
      <c r="A13" s="2" t="s">
        <v>52</v>
      </c>
      <c r="B13" s="3" t="s">
        <v>50</v>
      </c>
      <c r="C13" s="3" t="s">
        <v>53</v>
      </c>
    </row>
    <row r="14" spans="1:3" ht="18" customHeight="1" x14ac:dyDescent="0.35">
      <c r="A14" s="4" t="s">
        <v>54</v>
      </c>
      <c r="B14" s="5"/>
      <c r="C14" s="5" t="s">
        <v>55</v>
      </c>
    </row>
  </sheetData>
  <mergeCells count="1">
    <mergeCell ref="A1:C1"/>
  </mergeCells>
  <pageMargins left="0.75" right="0.75" top="1" bottom="1" header="0.511811023622047" footer="0.511811023622047"/>
  <pageSetup paperSize="9"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J22"/>
  <sheetViews>
    <sheetView showGridLines="0" topLeftCell="D1" zoomScale="81" zoomScaleNormal="100" workbookViewId="0">
      <pane ySplit="2" topLeftCell="A3" activePane="bottomLeft" state="frozen"/>
      <selection pane="bottomLeft" activeCell="K2" sqref="K2:L2"/>
    </sheetView>
  </sheetViews>
  <sheetFormatPr baseColWidth="10" defaultColWidth="8.6328125" defaultRowHeight="14.5" x14ac:dyDescent="0.35"/>
  <cols>
    <col min="1" max="1" width="8" customWidth="1"/>
    <col min="2" max="2" width="25" customWidth="1"/>
    <col min="3" max="3" width="8" customWidth="1"/>
    <col min="4" max="4" width="28" customWidth="1"/>
    <col min="5" max="5" width="8" customWidth="1"/>
    <col min="6" max="6" width="35" customWidth="1"/>
    <col min="7" max="10" width="45" customWidth="1"/>
  </cols>
  <sheetData>
    <row r="1" spans="1:10" ht="21.75" customHeight="1" x14ac:dyDescent="0.35">
      <c r="A1" s="38" t="s">
        <v>56</v>
      </c>
      <c r="B1" s="38"/>
      <c r="C1" s="38"/>
      <c r="D1" s="38"/>
      <c r="E1" s="38"/>
      <c r="F1" s="38"/>
      <c r="G1" s="38"/>
      <c r="H1" s="38"/>
      <c r="I1" s="38"/>
      <c r="J1" s="38"/>
    </row>
    <row r="2" spans="1:10" ht="42.75" customHeight="1" x14ac:dyDescent="0.35">
      <c r="A2" s="1" t="s">
        <v>57</v>
      </c>
      <c r="B2" s="1" t="s">
        <v>58</v>
      </c>
      <c r="C2" s="1" t="s">
        <v>59</v>
      </c>
      <c r="D2" s="1" t="s">
        <v>60</v>
      </c>
      <c r="E2" s="1" t="s">
        <v>61</v>
      </c>
      <c r="F2" s="1" t="s">
        <v>62</v>
      </c>
      <c r="G2" s="1" t="s">
        <v>63</v>
      </c>
      <c r="H2" s="1" t="s">
        <v>64</v>
      </c>
      <c r="I2" s="1" t="s">
        <v>65</v>
      </c>
      <c r="J2" s="1" t="s">
        <v>66</v>
      </c>
    </row>
    <row r="3" spans="1:10" ht="45" customHeight="1" x14ac:dyDescent="0.35">
      <c r="A3" s="6" t="s">
        <v>69</v>
      </c>
      <c r="B3" s="6" t="s">
        <v>70</v>
      </c>
      <c r="C3" s="3" t="s">
        <v>71</v>
      </c>
      <c r="D3" s="3" t="s">
        <v>72</v>
      </c>
      <c r="E3" s="3" t="s">
        <v>73</v>
      </c>
      <c r="F3" s="3" t="s">
        <v>74</v>
      </c>
      <c r="G3" s="3" t="s">
        <v>75</v>
      </c>
      <c r="H3" s="3" t="s">
        <v>76</v>
      </c>
      <c r="I3" s="3" t="s">
        <v>77</v>
      </c>
      <c r="J3" s="3" t="s">
        <v>78</v>
      </c>
    </row>
    <row r="4" spans="1:10" ht="45" customHeight="1" x14ac:dyDescent="0.35">
      <c r="A4" s="6" t="s">
        <v>69</v>
      </c>
      <c r="B4" s="6" t="s">
        <v>70</v>
      </c>
      <c r="C4" s="5" t="s">
        <v>71</v>
      </c>
      <c r="D4" s="5" t="s">
        <v>72</v>
      </c>
      <c r="E4" s="5" t="s">
        <v>80</v>
      </c>
      <c r="F4" s="5" t="s">
        <v>81</v>
      </c>
      <c r="G4" s="5" t="s">
        <v>75</v>
      </c>
      <c r="H4" s="5" t="s">
        <v>82</v>
      </c>
      <c r="I4" s="5" t="s">
        <v>83</v>
      </c>
      <c r="J4" s="5" t="s">
        <v>84</v>
      </c>
    </row>
    <row r="5" spans="1:10" ht="45" customHeight="1" x14ac:dyDescent="0.35">
      <c r="A5" s="6" t="s">
        <v>69</v>
      </c>
      <c r="B5" s="6" t="s">
        <v>70</v>
      </c>
      <c r="C5" s="3" t="s">
        <v>85</v>
      </c>
      <c r="D5" s="3" t="s">
        <v>86</v>
      </c>
      <c r="E5" s="3" t="s">
        <v>87</v>
      </c>
      <c r="F5" s="3" t="s">
        <v>88</v>
      </c>
      <c r="G5" s="3" t="s">
        <v>89</v>
      </c>
      <c r="H5" s="3" t="s">
        <v>90</v>
      </c>
      <c r="I5" s="3" t="s">
        <v>91</v>
      </c>
      <c r="J5" s="3" t="s">
        <v>92</v>
      </c>
    </row>
    <row r="6" spans="1:10" ht="45" customHeight="1" x14ac:dyDescent="0.35">
      <c r="A6" s="6" t="s">
        <v>69</v>
      </c>
      <c r="B6" s="6" t="s">
        <v>70</v>
      </c>
      <c r="C6" s="5" t="s">
        <v>85</v>
      </c>
      <c r="D6" s="5" t="s">
        <v>86</v>
      </c>
      <c r="E6" s="5" t="s">
        <v>93</v>
      </c>
      <c r="F6" s="5" t="s">
        <v>94</v>
      </c>
      <c r="G6" s="5" t="s">
        <v>89</v>
      </c>
      <c r="H6" s="5" t="s">
        <v>95</v>
      </c>
      <c r="I6" s="5" t="s">
        <v>96</v>
      </c>
      <c r="J6" s="5" t="s">
        <v>97</v>
      </c>
    </row>
    <row r="7" spans="1:10" ht="45" customHeight="1" x14ac:dyDescent="0.35">
      <c r="A7" s="7" t="s">
        <v>98</v>
      </c>
      <c r="B7" s="7" t="s">
        <v>99</v>
      </c>
      <c r="C7" s="3" t="s">
        <v>100</v>
      </c>
      <c r="D7" s="3" t="s">
        <v>101</v>
      </c>
      <c r="E7" s="3" t="s">
        <v>102</v>
      </c>
      <c r="F7" s="3" t="s">
        <v>103</v>
      </c>
      <c r="G7" s="3" t="s">
        <v>104</v>
      </c>
      <c r="H7" s="3" t="s">
        <v>105</v>
      </c>
      <c r="I7" s="3" t="s">
        <v>106</v>
      </c>
      <c r="J7" s="3" t="s">
        <v>107</v>
      </c>
    </row>
    <row r="8" spans="1:10" ht="45" customHeight="1" x14ac:dyDescent="0.35">
      <c r="A8" s="7" t="s">
        <v>98</v>
      </c>
      <c r="B8" s="7" t="s">
        <v>99</v>
      </c>
      <c r="C8" s="5" t="s">
        <v>100</v>
      </c>
      <c r="D8" s="5" t="s">
        <v>101</v>
      </c>
      <c r="E8" s="5" t="s">
        <v>108</v>
      </c>
      <c r="F8" s="5" t="s">
        <v>109</v>
      </c>
      <c r="G8" s="5" t="s">
        <v>104</v>
      </c>
      <c r="H8" s="5" t="s">
        <v>110</v>
      </c>
      <c r="I8" s="5" t="s">
        <v>111</v>
      </c>
      <c r="J8" s="5" t="s">
        <v>112</v>
      </c>
    </row>
    <row r="9" spans="1:10" ht="45" customHeight="1" x14ac:dyDescent="0.35">
      <c r="A9" s="7" t="s">
        <v>98</v>
      </c>
      <c r="B9" s="7" t="s">
        <v>99</v>
      </c>
      <c r="C9" s="3" t="s">
        <v>114</v>
      </c>
      <c r="D9" s="3" t="s">
        <v>115</v>
      </c>
      <c r="E9" s="3" t="s">
        <v>116</v>
      </c>
      <c r="F9" s="3" t="s">
        <v>117</v>
      </c>
      <c r="G9" s="3" t="s">
        <v>118</v>
      </c>
      <c r="H9" s="3" t="s">
        <v>119</v>
      </c>
      <c r="I9" s="3" t="s">
        <v>120</v>
      </c>
      <c r="J9" s="3" t="s">
        <v>121</v>
      </c>
    </row>
    <row r="10" spans="1:10" ht="45" customHeight="1" x14ac:dyDescent="0.35">
      <c r="A10" s="7" t="s">
        <v>98</v>
      </c>
      <c r="B10" s="7" t="s">
        <v>99</v>
      </c>
      <c r="C10" s="5" t="s">
        <v>114</v>
      </c>
      <c r="D10" s="5" t="s">
        <v>115</v>
      </c>
      <c r="E10" s="5" t="s">
        <v>122</v>
      </c>
      <c r="F10" s="5" t="s">
        <v>123</v>
      </c>
      <c r="G10" s="5" t="s">
        <v>118</v>
      </c>
      <c r="H10" s="5" t="s">
        <v>124</v>
      </c>
      <c r="I10" s="5" t="s">
        <v>125</v>
      </c>
      <c r="J10" s="5" t="s">
        <v>126</v>
      </c>
    </row>
    <row r="11" spans="1:10" ht="45" customHeight="1" x14ac:dyDescent="0.35">
      <c r="A11" s="8" t="s">
        <v>127</v>
      </c>
      <c r="B11" s="8" t="s">
        <v>128</v>
      </c>
      <c r="C11" s="3" t="s">
        <v>129</v>
      </c>
      <c r="D11" s="3" t="s">
        <v>130</v>
      </c>
      <c r="E11" s="3" t="s">
        <v>131</v>
      </c>
      <c r="F11" s="3" t="s">
        <v>132</v>
      </c>
      <c r="G11" s="3" t="s">
        <v>133</v>
      </c>
      <c r="H11" s="3" t="s">
        <v>134</v>
      </c>
      <c r="I11" s="3" t="s">
        <v>135</v>
      </c>
      <c r="J11" s="3" t="s">
        <v>136</v>
      </c>
    </row>
    <row r="12" spans="1:10" ht="45" customHeight="1" x14ac:dyDescent="0.35">
      <c r="A12" s="8" t="s">
        <v>127</v>
      </c>
      <c r="B12" s="8" t="s">
        <v>128</v>
      </c>
      <c r="C12" s="5" t="s">
        <v>129</v>
      </c>
      <c r="D12" s="5" t="s">
        <v>130</v>
      </c>
      <c r="E12" s="5" t="s">
        <v>138</v>
      </c>
      <c r="F12" s="5" t="s">
        <v>139</v>
      </c>
      <c r="G12" s="5" t="s">
        <v>133</v>
      </c>
      <c r="H12" s="5" t="s">
        <v>140</v>
      </c>
      <c r="I12" s="5" t="s">
        <v>141</v>
      </c>
      <c r="J12" s="5" t="s">
        <v>142</v>
      </c>
    </row>
    <row r="13" spans="1:10" ht="45" customHeight="1" x14ac:dyDescent="0.35">
      <c r="A13" s="8" t="s">
        <v>127</v>
      </c>
      <c r="B13" s="8" t="s">
        <v>128</v>
      </c>
      <c r="C13" s="3" t="s">
        <v>144</v>
      </c>
      <c r="D13" s="3" t="s">
        <v>145</v>
      </c>
      <c r="E13" s="3" t="s">
        <v>146</v>
      </c>
      <c r="F13" s="3" t="s">
        <v>147</v>
      </c>
      <c r="G13" s="3" t="s">
        <v>148</v>
      </c>
      <c r="H13" s="3" t="s">
        <v>149</v>
      </c>
      <c r="I13" s="3" t="s">
        <v>150</v>
      </c>
      <c r="J13" s="3" t="s">
        <v>151</v>
      </c>
    </row>
    <row r="14" spans="1:10" ht="45" customHeight="1" x14ac:dyDescent="0.35">
      <c r="A14" s="8" t="s">
        <v>127</v>
      </c>
      <c r="B14" s="8" t="s">
        <v>128</v>
      </c>
      <c r="C14" s="5" t="s">
        <v>144</v>
      </c>
      <c r="D14" s="5" t="s">
        <v>145</v>
      </c>
      <c r="E14" s="5" t="s">
        <v>152</v>
      </c>
      <c r="F14" s="5" t="s">
        <v>153</v>
      </c>
      <c r="G14" s="5" t="s">
        <v>148</v>
      </c>
      <c r="H14" s="5" t="s">
        <v>154</v>
      </c>
      <c r="I14" s="5" t="s">
        <v>155</v>
      </c>
      <c r="J14" s="5" t="s">
        <v>156</v>
      </c>
    </row>
    <row r="15" spans="1:10" ht="45" customHeight="1" x14ac:dyDescent="0.35">
      <c r="A15" s="9" t="s">
        <v>158</v>
      </c>
      <c r="B15" s="9" t="s">
        <v>159</v>
      </c>
      <c r="C15" s="3" t="s">
        <v>160</v>
      </c>
      <c r="D15" s="3" t="s">
        <v>161</v>
      </c>
      <c r="E15" s="3" t="s">
        <v>162</v>
      </c>
      <c r="F15" s="3" t="s">
        <v>163</v>
      </c>
      <c r="G15" s="3" t="s">
        <v>164</v>
      </c>
      <c r="H15" s="3" t="s">
        <v>165</v>
      </c>
      <c r="I15" s="3" t="s">
        <v>166</v>
      </c>
      <c r="J15" s="3" t="s">
        <v>167</v>
      </c>
    </row>
    <row r="16" spans="1:10" ht="45" customHeight="1" x14ac:dyDescent="0.35">
      <c r="A16" s="9" t="s">
        <v>158</v>
      </c>
      <c r="B16" s="9" t="s">
        <v>159</v>
      </c>
      <c r="C16" s="5" t="s">
        <v>160</v>
      </c>
      <c r="D16" s="5" t="s">
        <v>161</v>
      </c>
      <c r="E16" s="5" t="s">
        <v>168</v>
      </c>
      <c r="F16" s="5" t="s">
        <v>169</v>
      </c>
      <c r="G16" s="5" t="s">
        <v>164</v>
      </c>
      <c r="H16" s="5" t="s">
        <v>170</v>
      </c>
      <c r="I16" s="5" t="s">
        <v>171</v>
      </c>
      <c r="J16" s="5" t="s">
        <v>172</v>
      </c>
    </row>
    <row r="17" spans="1:10" ht="45" customHeight="1" x14ac:dyDescent="0.35">
      <c r="A17" s="9" t="s">
        <v>158</v>
      </c>
      <c r="B17" s="9" t="s">
        <v>159</v>
      </c>
      <c r="C17" s="3" t="s">
        <v>173</v>
      </c>
      <c r="D17" s="3" t="s">
        <v>174</v>
      </c>
      <c r="E17" s="3" t="s">
        <v>175</v>
      </c>
      <c r="F17" s="3" t="s">
        <v>176</v>
      </c>
      <c r="G17" s="3" t="s">
        <v>177</v>
      </c>
      <c r="H17" s="3" t="s">
        <v>178</v>
      </c>
      <c r="I17" s="3" t="s">
        <v>179</v>
      </c>
      <c r="J17" s="3" t="s">
        <v>180</v>
      </c>
    </row>
    <row r="18" spans="1:10" ht="45" customHeight="1" x14ac:dyDescent="0.35">
      <c r="A18" s="9" t="s">
        <v>158</v>
      </c>
      <c r="B18" s="9" t="s">
        <v>159</v>
      </c>
      <c r="C18" s="5" t="s">
        <v>173</v>
      </c>
      <c r="D18" s="5" t="s">
        <v>174</v>
      </c>
      <c r="E18" s="5" t="s">
        <v>181</v>
      </c>
      <c r="F18" s="5" t="s">
        <v>182</v>
      </c>
      <c r="G18" s="5" t="s">
        <v>177</v>
      </c>
      <c r="H18" s="5" t="s">
        <v>183</v>
      </c>
      <c r="I18" s="5" t="s">
        <v>184</v>
      </c>
      <c r="J18" s="5" t="s">
        <v>185</v>
      </c>
    </row>
    <row r="19" spans="1:10" ht="45" customHeight="1" x14ac:dyDescent="0.35">
      <c r="A19" s="10" t="s">
        <v>186</v>
      </c>
      <c r="B19" s="10" t="s">
        <v>187</v>
      </c>
      <c r="C19" s="3" t="s">
        <v>188</v>
      </c>
      <c r="D19" s="3" t="s">
        <v>189</v>
      </c>
      <c r="E19" s="3" t="s">
        <v>190</v>
      </c>
      <c r="F19" s="3" t="s">
        <v>191</v>
      </c>
      <c r="G19" s="3" t="s">
        <v>192</v>
      </c>
      <c r="H19" s="3" t="s">
        <v>193</v>
      </c>
      <c r="I19" s="3" t="s">
        <v>194</v>
      </c>
      <c r="J19" s="3" t="s">
        <v>195</v>
      </c>
    </row>
    <row r="20" spans="1:10" ht="45" customHeight="1" x14ac:dyDescent="0.35">
      <c r="A20" s="10" t="s">
        <v>186</v>
      </c>
      <c r="B20" s="10" t="s">
        <v>187</v>
      </c>
      <c r="C20" s="5" t="s">
        <v>188</v>
      </c>
      <c r="D20" s="5" t="s">
        <v>189</v>
      </c>
      <c r="E20" s="5" t="s">
        <v>196</v>
      </c>
      <c r="F20" s="5" t="s">
        <v>197</v>
      </c>
      <c r="G20" s="5" t="s">
        <v>192</v>
      </c>
      <c r="H20" s="5" t="s">
        <v>198</v>
      </c>
      <c r="I20" s="5" t="s">
        <v>199</v>
      </c>
      <c r="J20" s="5" t="s">
        <v>200</v>
      </c>
    </row>
    <row r="21" spans="1:10" ht="45" customHeight="1" x14ac:dyDescent="0.35">
      <c r="A21" s="10" t="s">
        <v>186</v>
      </c>
      <c r="B21" s="10" t="s">
        <v>187</v>
      </c>
      <c r="C21" s="3" t="s">
        <v>202</v>
      </c>
      <c r="D21" s="3" t="s">
        <v>203</v>
      </c>
      <c r="E21" s="3" t="s">
        <v>204</v>
      </c>
      <c r="F21" s="3" t="s">
        <v>205</v>
      </c>
      <c r="G21" s="3" t="s">
        <v>206</v>
      </c>
      <c r="H21" s="3" t="s">
        <v>207</v>
      </c>
      <c r="I21" s="3" t="s">
        <v>208</v>
      </c>
      <c r="J21" s="3" t="s">
        <v>209</v>
      </c>
    </row>
    <row r="22" spans="1:10" ht="45" customHeight="1" x14ac:dyDescent="0.35">
      <c r="A22" s="10" t="s">
        <v>186</v>
      </c>
      <c r="B22" s="10" t="s">
        <v>187</v>
      </c>
      <c r="C22" s="5" t="s">
        <v>202</v>
      </c>
      <c r="D22" s="5" t="s">
        <v>203</v>
      </c>
      <c r="E22" s="5" t="s">
        <v>210</v>
      </c>
      <c r="F22" s="5" t="s">
        <v>211</v>
      </c>
      <c r="G22" s="5" t="s">
        <v>206</v>
      </c>
      <c r="H22" s="5" t="s">
        <v>212</v>
      </c>
      <c r="I22" s="5" t="s">
        <v>213</v>
      </c>
      <c r="J22" s="5" t="s">
        <v>214</v>
      </c>
    </row>
  </sheetData>
  <autoFilter ref="A2:J2" xr:uid="{00000000-0009-0000-0000-000002000000}"/>
  <mergeCells count="1">
    <mergeCell ref="A1:J1"/>
  </mergeCells>
  <pageMargins left="0.75" right="0.75" top="1" bottom="1" header="0.511811023622047" footer="0.511811023622047"/>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75623"/>
  </sheetPr>
  <dimension ref="A1:E8"/>
  <sheetViews>
    <sheetView showGridLines="0" topLeftCell="B1" zoomScale="77" zoomScaleNormal="100" workbookViewId="0">
      <pane ySplit="2" topLeftCell="A3" activePane="bottomLeft" state="frozen"/>
      <selection pane="bottomLeft" sqref="A1:E1"/>
    </sheetView>
  </sheetViews>
  <sheetFormatPr baseColWidth="10" defaultColWidth="8.6328125" defaultRowHeight="14.5" x14ac:dyDescent="0.35"/>
  <cols>
    <col min="1" max="1" width="8" customWidth="1"/>
    <col min="2" max="2" width="22" customWidth="1"/>
    <col min="3" max="5" width="65" customWidth="1"/>
  </cols>
  <sheetData>
    <row r="1" spans="1:5" ht="21.75" customHeight="1" x14ac:dyDescent="0.35">
      <c r="A1" s="38" t="s">
        <v>215</v>
      </c>
      <c r="B1" s="38"/>
      <c r="C1" s="38"/>
      <c r="D1" s="38"/>
      <c r="E1" s="38"/>
    </row>
    <row r="2" spans="1:5" ht="15" customHeight="1" x14ac:dyDescent="0.35">
      <c r="A2" s="1" t="s">
        <v>216</v>
      </c>
      <c r="B2" s="1" t="s">
        <v>217</v>
      </c>
      <c r="C2" s="1" t="s">
        <v>218</v>
      </c>
      <c r="D2" s="1" t="s">
        <v>219</v>
      </c>
      <c r="E2" s="1" t="s">
        <v>220</v>
      </c>
    </row>
    <row r="3" spans="1:5" ht="54.75" customHeight="1" x14ac:dyDescent="0.35">
      <c r="A3" s="11">
        <v>0</v>
      </c>
      <c r="B3" s="11" t="s">
        <v>221</v>
      </c>
      <c r="C3" s="12" t="s">
        <v>222</v>
      </c>
      <c r="D3" s="12" t="s">
        <v>223</v>
      </c>
      <c r="E3" s="12" t="s">
        <v>224</v>
      </c>
    </row>
    <row r="4" spans="1:5" ht="54.75" customHeight="1" x14ac:dyDescent="0.35">
      <c r="A4" s="13">
        <v>1</v>
      </c>
      <c r="B4" s="13" t="s">
        <v>225</v>
      </c>
      <c r="C4" s="6" t="s">
        <v>226</v>
      </c>
      <c r="D4" s="6" t="s">
        <v>227</v>
      </c>
      <c r="E4" s="6" t="s">
        <v>228</v>
      </c>
    </row>
    <row r="5" spans="1:5" ht="54.75" customHeight="1" x14ac:dyDescent="0.35">
      <c r="A5" s="14">
        <v>2</v>
      </c>
      <c r="B5" s="14" t="s">
        <v>229</v>
      </c>
      <c r="C5" s="15" t="s">
        <v>230</v>
      </c>
      <c r="D5" s="15" t="s">
        <v>231</v>
      </c>
      <c r="E5" s="15" t="s">
        <v>232</v>
      </c>
    </row>
    <row r="6" spans="1:5" ht="54.75" customHeight="1" x14ac:dyDescent="0.35">
      <c r="A6" s="16">
        <v>3</v>
      </c>
      <c r="B6" s="16" t="s">
        <v>233</v>
      </c>
      <c r="C6" s="17" t="s">
        <v>234</v>
      </c>
      <c r="D6" s="17" t="s">
        <v>235</v>
      </c>
      <c r="E6" s="17" t="s">
        <v>236</v>
      </c>
    </row>
    <row r="7" spans="1:5" ht="54.75" customHeight="1" x14ac:dyDescent="0.35">
      <c r="A7" s="18">
        <v>4</v>
      </c>
      <c r="B7" s="18" t="s">
        <v>237</v>
      </c>
      <c r="C7" s="19" t="s">
        <v>238</v>
      </c>
      <c r="D7" s="19" t="s">
        <v>239</v>
      </c>
      <c r="E7" s="19" t="s">
        <v>240</v>
      </c>
    </row>
    <row r="8" spans="1:5" ht="54.75" customHeight="1" x14ac:dyDescent="0.35">
      <c r="A8" s="20">
        <v>5</v>
      </c>
      <c r="B8" s="20" t="s">
        <v>241</v>
      </c>
      <c r="C8" s="21" t="s">
        <v>242</v>
      </c>
      <c r="D8" s="21" t="s">
        <v>243</v>
      </c>
      <c r="E8" s="21" t="s">
        <v>244</v>
      </c>
    </row>
  </sheetData>
  <mergeCells count="1">
    <mergeCell ref="A1:E1"/>
  </mergeCells>
  <pageMargins left="0.75" right="0.75" top="1" bottom="1" header="0.511811023622047" footer="0.511811023622047"/>
  <pageSetup paperSize="9"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75623"/>
  </sheetPr>
  <dimension ref="A1:L62"/>
  <sheetViews>
    <sheetView showGridLines="0" zoomScale="44" zoomScaleNormal="100" workbookViewId="0">
      <pane ySplit="2" topLeftCell="A3" activePane="bottomLeft" state="frozen"/>
      <selection pane="bottomLeft" activeCell="M2" sqref="M2:N2"/>
    </sheetView>
  </sheetViews>
  <sheetFormatPr baseColWidth="10" defaultColWidth="8.6328125" defaultRowHeight="14.5" x14ac:dyDescent="0.35"/>
  <cols>
    <col min="1" max="1" width="10" customWidth="1"/>
    <col min="2" max="2" width="28" customWidth="1"/>
    <col min="3" max="3" width="8" customWidth="1"/>
    <col min="4" max="4" width="6" customWidth="1"/>
    <col min="5" max="5" width="22" customWidth="1"/>
    <col min="6" max="6" width="60" customWidth="1"/>
    <col min="7" max="11" width="45" customWidth="1"/>
    <col min="12" max="12" width="35" customWidth="1"/>
  </cols>
  <sheetData>
    <row r="1" spans="1:12" ht="21.75" customHeight="1" x14ac:dyDescent="0.35">
      <c r="A1" s="38" t="s">
        <v>245</v>
      </c>
      <c r="B1" s="38"/>
      <c r="C1" s="38"/>
      <c r="D1" s="38"/>
      <c r="E1" s="38"/>
      <c r="F1" s="38"/>
      <c r="G1" s="38"/>
      <c r="H1" s="38"/>
      <c r="I1" s="38"/>
      <c r="J1" s="38"/>
      <c r="K1" s="38"/>
      <c r="L1" s="38"/>
    </row>
    <row r="2" spans="1:12" ht="21.75" customHeight="1" x14ac:dyDescent="0.35">
      <c r="A2" s="1" t="s">
        <v>59</v>
      </c>
      <c r="B2" s="1" t="s">
        <v>60</v>
      </c>
      <c r="C2" s="1" t="s">
        <v>57</v>
      </c>
      <c r="D2" s="1" t="s">
        <v>216</v>
      </c>
      <c r="E2" s="1" t="s">
        <v>217</v>
      </c>
      <c r="F2" s="1" t="s">
        <v>246</v>
      </c>
      <c r="G2" s="1" t="s">
        <v>247</v>
      </c>
      <c r="H2" s="1" t="s">
        <v>248</v>
      </c>
      <c r="I2" s="1" t="s">
        <v>249</v>
      </c>
      <c r="J2" s="1" t="s">
        <v>250</v>
      </c>
      <c r="K2" s="1" t="s">
        <v>251</v>
      </c>
      <c r="L2" s="1" t="s">
        <v>252</v>
      </c>
    </row>
    <row r="3" spans="1:12" ht="54.75" customHeight="1" x14ac:dyDescent="0.35">
      <c r="A3" s="22" t="s">
        <v>71</v>
      </c>
      <c r="B3" s="22" t="s">
        <v>72</v>
      </c>
      <c r="C3" s="22" t="s">
        <v>69</v>
      </c>
      <c r="D3" s="22">
        <v>0</v>
      </c>
      <c r="E3" s="22" t="s">
        <v>221</v>
      </c>
      <c r="F3" s="23" t="s">
        <v>253</v>
      </c>
      <c r="G3" s="23" t="s">
        <v>254</v>
      </c>
      <c r="H3" s="23" t="s">
        <v>255</v>
      </c>
      <c r="I3" s="23" t="s">
        <v>256</v>
      </c>
      <c r="J3" s="23" t="s">
        <v>257</v>
      </c>
      <c r="K3" s="23" t="s">
        <v>258</v>
      </c>
      <c r="L3" s="23" t="s">
        <v>259</v>
      </c>
    </row>
    <row r="4" spans="1:12" ht="54.75" customHeight="1" x14ac:dyDescent="0.35">
      <c r="A4" s="24" t="s">
        <v>71</v>
      </c>
      <c r="B4" s="24" t="s">
        <v>72</v>
      </c>
      <c r="C4" s="24" t="s">
        <v>69</v>
      </c>
      <c r="D4" s="24">
        <v>1</v>
      </c>
      <c r="E4" s="24" t="s">
        <v>225</v>
      </c>
      <c r="F4" s="3" t="s">
        <v>260</v>
      </c>
      <c r="G4" s="3" t="s">
        <v>261</v>
      </c>
      <c r="H4" s="3" t="s">
        <v>262</v>
      </c>
      <c r="I4" s="3" t="s">
        <v>263</v>
      </c>
      <c r="J4" s="3" t="s">
        <v>264</v>
      </c>
      <c r="K4" s="3" t="s">
        <v>265</v>
      </c>
      <c r="L4" s="3" t="s">
        <v>266</v>
      </c>
    </row>
    <row r="5" spans="1:12" ht="54.75" customHeight="1" x14ac:dyDescent="0.35">
      <c r="A5" s="25" t="s">
        <v>71</v>
      </c>
      <c r="B5" s="25" t="s">
        <v>72</v>
      </c>
      <c r="C5" s="25" t="s">
        <v>69</v>
      </c>
      <c r="D5" s="25">
        <v>2</v>
      </c>
      <c r="E5" s="25" t="s">
        <v>229</v>
      </c>
      <c r="F5" s="23" t="s">
        <v>267</v>
      </c>
      <c r="G5" s="23" t="s">
        <v>268</v>
      </c>
      <c r="H5" s="23" t="s">
        <v>269</v>
      </c>
      <c r="I5" s="23" t="s">
        <v>270</v>
      </c>
      <c r="J5" s="23" t="s">
        <v>271</v>
      </c>
      <c r="K5" s="23" t="s">
        <v>272</v>
      </c>
      <c r="L5" s="23" t="s">
        <v>273</v>
      </c>
    </row>
    <row r="6" spans="1:12" ht="54.75" customHeight="1" x14ac:dyDescent="0.35">
      <c r="A6" s="26" t="s">
        <v>71</v>
      </c>
      <c r="B6" s="26" t="s">
        <v>72</v>
      </c>
      <c r="C6" s="26" t="s">
        <v>69</v>
      </c>
      <c r="D6" s="26">
        <v>3</v>
      </c>
      <c r="E6" s="26" t="s">
        <v>233</v>
      </c>
      <c r="F6" s="3" t="s">
        <v>274</v>
      </c>
      <c r="G6" s="3" t="s">
        <v>275</v>
      </c>
      <c r="H6" s="3" t="s">
        <v>276</v>
      </c>
      <c r="I6" s="3" t="s">
        <v>277</v>
      </c>
      <c r="J6" s="3" t="s">
        <v>278</v>
      </c>
      <c r="K6" s="3" t="s">
        <v>279</v>
      </c>
      <c r="L6" s="3" t="s">
        <v>280</v>
      </c>
    </row>
    <row r="7" spans="1:12" ht="54.75" customHeight="1" x14ac:dyDescent="0.35">
      <c r="A7" s="27" t="s">
        <v>71</v>
      </c>
      <c r="B7" s="27" t="s">
        <v>72</v>
      </c>
      <c r="C7" s="27" t="s">
        <v>69</v>
      </c>
      <c r="D7" s="27">
        <v>4</v>
      </c>
      <c r="E7" s="27" t="s">
        <v>237</v>
      </c>
      <c r="F7" s="23" t="s">
        <v>281</v>
      </c>
      <c r="G7" s="23" t="s">
        <v>282</v>
      </c>
      <c r="H7" s="23" t="s">
        <v>283</v>
      </c>
      <c r="I7" s="23" t="s">
        <v>284</v>
      </c>
      <c r="J7" s="23" t="s">
        <v>285</v>
      </c>
      <c r="K7" s="23" t="s">
        <v>286</v>
      </c>
      <c r="L7" s="23" t="s">
        <v>287</v>
      </c>
    </row>
    <row r="8" spans="1:12" ht="54.75" customHeight="1" x14ac:dyDescent="0.35">
      <c r="A8" s="28" t="s">
        <v>71</v>
      </c>
      <c r="B8" s="28" t="s">
        <v>72</v>
      </c>
      <c r="C8" s="28" t="s">
        <v>69</v>
      </c>
      <c r="D8" s="28">
        <v>5</v>
      </c>
      <c r="E8" s="28" t="s">
        <v>241</v>
      </c>
      <c r="F8" s="3" t="s">
        <v>288</v>
      </c>
      <c r="G8" s="3" t="s">
        <v>289</v>
      </c>
      <c r="H8" s="3" t="s">
        <v>290</v>
      </c>
      <c r="I8" s="3" t="s">
        <v>291</v>
      </c>
      <c r="J8" s="3" t="s">
        <v>292</v>
      </c>
      <c r="K8" s="3" t="s">
        <v>293</v>
      </c>
      <c r="L8" s="3" t="s">
        <v>294</v>
      </c>
    </row>
    <row r="9" spans="1:12" ht="54.75" customHeight="1" x14ac:dyDescent="0.35">
      <c r="A9" s="22" t="s">
        <v>85</v>
      </c>
      <c r="B9" s="22" t="s">
        <v>86</v>
      </c>
      <c r="C9" s="22" t="s">
        <v>69</v>
      </c>
      <c r="D9" s="22">
        <v>0</v>
      </c>
      <c r="E9" s="22" t="s">
        <v>221</v>
      </c>
      <c r="F9" s="23" t="s">
        <v>295</v>
      </c>
      <c r="G9" s="23" t="s">
        <v>254</v>
      </c>
      <c r="H9" s="23" t="s">
        <v>296</v>
      </c>
      <c r="I9" s="23" t="s">
        <v>297</v>
      </c>
      <c r="J9" s="23" t="s">
        <v>298</v>
      </c>
      <c r="K9" s="23" t="s">
        <v>299</v>
      </c>
      <c r="L9" s="23" t="s">
        <v>300</v>
      </c>
    </row>
    <row r="10" spans="1:12" ht="54.75" customHeight="1" x14ac:dyDescent="0.35">
      <c r="A10" s="24" t="s">
        <v>85</v>
      </c>
      <c r="B10" s="24" t="s">
        <v>86</v>
      </c>
      <c r="C10" s="24" t="s">
        <v>69</v>
      </c>
      <c r="D10" s="24">
        <v>1</v>
      </c>
      <c r="E10" s="24" t="s">
        <v>225</v>
      </c>
      <c r="F10" s="3" t="s">
        <v>301</v>
      </c>
      <c r="G10" s="3" t="s">
        <v>302</v>
      </c>
      <c r="H10" s="3" t="s">
        <v>303</v>
      </c>
      <c r="I10" s="3" t="s">
        <v>304</v>
      </c>
      <c r="J10" s="3" t="s">
        <v>305</v>
      </c>
      <c r="K10" s="3" t="s">
        <v>306</v>
      </c>
      <c r="L10" s="3" t="s">
        <v>307</v>
      </c>
    </row>
    <row r="11" spans="1:12" ht="54.75" customHeight="1" x14ac:dyDescent="0.35">
      <c r="A11" s="25" t="s">
        <v>85</v>
      </c>
      <c r="B11" s="25" t="s">
        <v>86</v>
      </c>
      <c r="C11" s="25" t="s">
        <v>69</v>
      </c>
      <c r="D11" s="25">
        <v>2</v>
      </c>
      <c r="E11" s="25" t="s">
        <v>229</v>
      </c>
      <c r="F11" s="23" t="s">
        <v>308</v>
      </c>
      <c r="G11" s="23" t="s">
        <v>309</v>
      </c>
      <c r="H11" s="23" t="s">
        <v>310</v>
      </c>
      <c r="I11" s="23" t="s">
        <v>311</v>
      </c>
      <c r="J11" s="23" t="s">
        <v>312</v>
      </c>
      <c r="K11" s="23" t="s">
        <v>313</v>
      </c>
      <c r="L11" s="23" t="s">
        <v>314</v>
      </c>
    </row>
    <row r="12" spans="1:12" ht="54.75" customHeight="1" x14ac:dyDescent="0.35">
      <c r="A12" s="26" t="s">
        <v>85</v>
      </c>
      <c r="B12" s="26" t="s">
        <v>86</v>
      </c>
      <c r="C12" s="26" t="s">
        <v>69</v>
      </c>
      <c r="D12" s="26">
        <v>3</v>
      </c>
      <c r="E12" s="26" t="s">
        <v>233</v>
      </c>
      <c r="F12" s="3" t="s">
        <v>315</v>
      </c>
      <c r="G12" s="3" t="s">
        <v>316</v>
      </c>
      <c r="H12" s="3" t="s">
        <v>317</v>
      </c>
      <c r="I12" s="3" t="s">
        <v>318</v>
      </c>
      <c r="J12" s="3" t="s">
        <v>319</v>
      </c>
      <c r="K12" s="3" t="s">
        <v>320</v>
      </c>
      <c r="L12" s="3" t="s">
        <v>321</v>
      </c>
    </row>
    <row r="13" spans="1:12" ht="54.75" customHeight="1" x14ac:dyDescent="0.35">
      <c r="A13" s="27" t="s">
        <v>85</v>
      </c>
      <c r="B13" s="27" t="s">
        <v>86</v>
      </c>
      <c r="C13" s="27" t="s">
        <v>69</v>
      </c>
      <c r="D13" s="27">
        <v>4</v>
      </c>
      <c r="E13" s="27" t="s">
        <v>237</v>
      </c>
      <c r="F13" s="23" t="s">
        <v>322</v>
      </c>
      <c r="G13" s="23" t="s">
        <v>323</v>
      </c>
      <c r="H13" s="23" t="s">
        <v>324</v>
      </c>
      <c r="I13" s="23" t="s">
        <v>325</v>
      </c>
      <c r="J13" s="23" t="s">
        <v>326</v>
      </c>
      <c r="K13" s="23" t="s">
        <v>327</v>
      </c>
      <c r="L13" s="23" t="s">
        <v>328</v>
      </c>
    </row>
    <row r="14" spans="1:12" ht="54.75" customHeight="1" x14ac:dyDescent="0.35">
      <c r="A14" s="28" t="s">
        <v>85</v>
      </c>
      <c r="B14" s="28" t="s">
        <v>86</v>
      </c>
      <c r="C14" s="28" t="s">
        <v>69</v>
      </c>
      <c r="D14" s="28">
        <v>5</v>
      </c>
      <c r="E14" s="28" t="s">
        <v>241</v>
      </c>
      <c r="F14" s="3" t="s">
        <v>329</v>
      </c>
      <c r="G14" s="3" t="s">
        <v>330</v>
      </c>
      <c r="H14" s="3" t="s">
        <v>331</v>
      </c>
      <c r="I14" s="3" t="s">
        <v>332</v>
      </c>
      <c r="J14" s="3" t="s">
        <v>333</v>
      </c>
      <c r="K14" s="3" t="s">
        <v>293</v>
      </c>
      <c r="L14" s="3" t="s">
        <v>334</v>
      </c>
    </row>
    <row r="15" spans="1:12" ht="54.75" customHeight="1" x14ac:dyDescent="0.35">
      <c r="A15" s="22" t="s">
        <v>100</v>
      </c>
      <c r="B15" s="22" t="s">
        <v>101</v>
      </c>
      <c r="C15" s="22" t="s">
        <v>98</v>
      </c>
      <c r="D15" s="22">
        <v>0</v>
      </c>
      <c r="E15" s="22" t="s">
        <v>221</v>
      </c>
      <c r="F15" s="23" t="s">
        <v>335</v>
      </c>
      <c r="G15" s="23" t="s">
        <v>254</v>
      </c>
      <c r="H15" s="23" t="s">
        <v>336</v>
      </c>
      <c r="I15" s="23" t="s">
        <v>337</v>
      </c>
      <c r="J15" s="23" t="s">
        <v>338</v>
      </c>
      <c r="K15" s="23" t="s">
        <v>339</v>
      </c>
      <c r="L15" s="23" t="s">
        <v>340</v>
      </c>
    </row>
    <row r="16" spans="1:12" ht="54.75" customHeight="1" x14ac:dyDescent="0.35">
      <c r="A16" s="24" t="s">
        <v>100</v>
      </c>
      <c r="B16" s="24" t="s">
        <v>101</v>
      </c>
      <c r="C16" s="24" t="s">
        <v>98</v>
      </c>
      <c r="D16" s="24">
        <v>1</v>
      </c>
      <c r="E16" s="24" t="s">
        <v>225</v>
      </c>
      <c r="F16" s="3" t="s">
        <v>342</v>
      </c>
      <c r="G16" s="3" t="s">
        <v>343</v>
      </c>
      <c r="H16" s="3" t="s">
        <v>344</v>
      </c>
      <c r="I16" s="3" t="s">
        <v>345</v>
      </c>
      <c r="J16" s="3" t="s">
        <v>346</v>
      </c>
      <c r="K16" s="3" t="s">
        <v>347</v>
      </c>
      <c r="L16" s="3" t="s">
        <v>348</v>
      </c>
    </row>
    <row r="17" spans="1:12" ht="54.75" customHeight="1" x14ac:dyDescent="0.35">
      <c r="A17" s="25" t="s">
        <v>100</v>
      </c>
      <c r="B17" s="25" t="s">
        <v>101</v>
      </c>
      <c r="C17" s="25" t="s">
        <v>98</v>
      </c>
      <c r="D17" s="25">
        <v>2</v>
      </c>
      <c r="E17" s="25" t="s">
        <v>229</v>
      </c>
      <c r="F17" s="23" t="s">
        <v>349</v>
      </c>
      <c r="G17" s="23" t="s">
        <v>350</v>
      </c>
      <c r="H17" s="23" t="s">
        <v>351</v>
      </c>
      <c r="I17" s="23" t="s">
        <v>352</v>
      </c>
      <c r="J17" s="23" t="s">
        <v>353</v>
      </c>
      <c r="K17" s="23" t="s">
        <v>354</v>
      </c>
      <c r="L17" s="23" t="s">
        <v>355</v>
      </c>
    </row>
    <row r="18" spans="1:12" ht="54.75" customHeight="1" x14ac:dyDescent="0.35">
      <c r="A18" s="26" t="s">
        <v>100</v>
      </c>
      <c r="B18" s="26" t="s">
        <v>101</v>
      </c>
      <c r="C18" s="26" t="s">
        <v>98</v>
      </c>
      <c r="D18" s="26">
        <v>3</v>
      </c>
      <c r="E18" s="26" t="s">
        <v>233</v>
      </c>
      <c r="F18" s="3" t="s">
        <v>356</v>
      </c>
      <c r="G18" s="3" t="s">
        <v>357</v>
      </c>
      <c r="H18" s="3" t="s">
        <v>358</v>
      </c>
      <c r="I18" s="3" t="s">
        <v>359</v>
      </c>
      <c r="J18" s="3" t="s">
        <v>360</v>
      </c>
      <c r="K18" s="3" t="s">
        <v>361</v>
      </c>
      <c r="L18" s="3" t="s">
        <v>362</v>
      </c>
    </row>
    <row r="19" spans="1:12" ht="54.75" customHeight="1" x14ac:dyDescent="0.35">
      <c r="A19" s="27" t="s">
        <v>100</v>
      </c>
      <c r="B19" s="27" t="s">
        <v>101</v>
      </c>
      <c r="C19" s="27" t="s">
        <v>98</v>
      </c>
      <c r="D19" s="27">
        <v>4</v>
      </c>
      <c r="E19" s="27" t="s">
        <v>237</v>
      </c>
      <c r="F19" s="23" t="s">
        <v>363</v>
      </c>
      <c r="G19" s="23" t="s">
        <v>364</v>
      </c>
      <c r="H19" s="23" t="s">
        <v>365</v>
      </c>
      <c r="I19" s="23" t="s">
        <v>366</v>
      </c>
      <c r="J19" s="23" t="s">
        <v>367</v>
      </c>
      <c r="K19" s="23" t="s">
        <v>368</v>
      </c>
      <c r="L19" s="23" t="s">
        <v>369</v>
      </c>
    </row>
    <row r="20" spans="1:12" ht="54.75" customHeight="1" x14ac:dyDescent="0.35">
      <c r="A20" s="28" t="s">
        <v>100</v>
      </c>
      <c r="B20" s="28" t="s">
        <v>101</v>
      </c>
      <c r="C20" s="28" t="s">
        <v>98</v>
      </c>
      <c r="D20" s="28">
        <v>5</v>
      </c>
      <c r="E20" s="28" t="s">
        <v>241</v>
      </c>
      <c r="F20" s="3" t="s">
        <v>370</v>
      </c>
      <c r="G20" s="3" t="s">
        <v>371</v>
      </c>
      <c r="H20" s="3" t="s">
        <v>372</v>
      </c>
      <c r="I20" s="3" t="s">
        <v>373</v>
      </c>
      <c r="J20" s="3" t="s">
        <v>374</v>
      </c>
      <c r="K20" s="3" t="s">
        <v>254</v>
      </c>
      <c r="L20" s="3" t="s">
        <v>375</v>
      </c>
    </row>
    <row r="21" spans="1:12" ht="54.75" customHeight="1" x14ac:dyDescent="0.35">
      <c r="A21" s="22" t="s">
        <v>114</v>
      </c>
      <c r="B21" s="22" t="s">
        <v>115</v>
      </c>
      <c r="C21" s="22" t="s">
        <v>98</v>
      </c>
      <c r="D21" s="22">
        <v>0</v>
      </c>
      <c r="E21" s="22" t="s">
        <v>221</v>
      </c>
      <c r="F21" s="23" t="s">
        <v>376</v>
      </c>
      <c r="G21" s="23" t="s">
        <v>254</v>
      </c>
      <c r="H21" s="23" t="s">
        <v>377</v>
      </c>
      <c r="I21" s="23" t="s">
        <v>378</v>
      </c>
      <c r="J21" s="23" t="s">
        <v>338</v>
      </c>
      <c r="K21" s="23" t="s">
        <v>379</v>
      </c>
      <c r="L21" s="23" t="s">
        <v>340</v>
      </c>
    </row>
    <row r="22" spans="1:12" ht="54.75" customHeight="1" x14ac:dyDescent="0.35">
      <c r="A22" s="24" t="s">
        <v>114</v>
      </c>
      <c r="B22" s="24" t="s">
        <v>115</v>
      </c>
      <c r="C22" s="24" t="s">
        <v>98</v>
      </c>
      <c r="D22" s="24">
        <v>1</v>
      </c>
      <c r="E22" s="24" t="s">
        <v>225</v>
      </c>
      <c r="F22" s="3" t="s">
        <v>380</v>
      </c>
      <c r="G22" s="3" t="s">
        <v>381</v>
      </c>
      <c r="H22" s="3" t="s">
        <v>382</v>
      </c>
      <c r="I22" s="3" t="s">
        <v>383</v>
      </c>
      <c r="J22" s="3" t="s">
        <v>384</v>
      </c>
      <c r="K22" s="3" t="s">
        <v>385</v>
      </c>
      <c r="L22" s="3" t="s">
        <v>386</v>
      </c>
    </row>
    <row r="23" spans="1:12" ht="54.75" customHeight="1" x14ac:dyDescent="0.35">
      <c r="A23" s="25" t="s">
        <v>114</v>
      </c>
      <c r="B23" s="25" t="s">
        <v>115</v>
      </c>
      <c r="C23" s="25" t="s">
        <v>98</v>
      </c>
      <c r="D23" s="25">
        <v>2</v>
      </c>
      <c r="E23" s="25" t="s">
        <v>229</v>
      </c>
      <c r="F23" s="23" t="s">
        <v>387</v>
      </c>
      <c r="G23" s="23" t="s">
        <v>388</v>
      </c>
      <c r="H23" s="23" t="s">
        <v>389</v>
      </c>
      <c r="I23" s="23" t="s">
        <v>390</v>
      </c>
      <c r="J23" s="23" t="s">
        <v>391</v>
      </c>
      <c r="K23" s="23" t="s">
        <v>392</v>
      </c>
      <c r="L23" s="23" t="s">
        <v>393</v>
      </c>
    </row>
    <row r="24" spans="1:12" ht="54.75" customHeight="1" x14ac:dyDescent="0.35">
      <c r="A24" s="26" t="s">
        <v>114</v>
      </c>
      <c r="B24" s="26" t="s">
        <v>115</v>
      </c>
      <c r="C24" s="26" t="s">
        <v>98</v>
      </c>
      <c r="D24" s="26">
        <v>3</v>
      </c>
      <c r="E24" s="26" t="s">
        <v>233</v>
      </c>
      <c r="F24" s="3" t="s">
        <v>394</v>
      </c>
      <c r="G24" s="3" t="s">
        <v>395</v>
      </c>
      <c r="H24" s="3" t="s">
        <v>396</v>
      </c>
      <c r="I24" s="3" t="s">
        <v>397</v>
      </c>
      <c r="J24" s="3" t="s">
        <v>398</v>
      </c>
      <c r="K24" s="3" t="s">
        <v>399</v>
      </c>
      <c r="L24" s="3" t="s">
        <v>400</v>
      </c>
    </row>
    <row r="25" spans="1:12" ht="54.75" customHeight="1" x14ac:dyDescent="0.35">
      <c r="A25" s="27" t="s">
        <v>114</v>
      </c>
      <c r="B25" s="27" t="s">
        <v>115</v>
      </c>
      <c r="C25" s="27" t="s">
        <v>98</v>
      </c>
      <c r="D25" s="27">
        <v>4</v>
      </c>
      <c r="E25" s="27" t="s">
        <v>237</v>
      </c>
      <c r="F25" s="23" t="s">
        <v>401</v>
      </c>
      <c r="G25" s="23" t="s">
        <v>402</v>
      </c>
      <c r="H25" s="23" t="s">
        <v>403</v>
      </c>
      <c r="I25" s="23" t="s">
        <v>404</v>
      </c>
      <c r="J25" s="23" t="s">
        <v>405</v>
      </c>
      <c r="K25" s="23" t="s">
        <v>406</v>
      </c>
      <c r="L25" s="23" t="s">
        <v>407</v>
      </c>
    </row>
    <row r="26" spans="1:12" ht="54.75" customHeight="1" x14ac:dyDescent="0.35">
      <c r="A26" s="28" t="s">
        <v>114</v>
      </c>
      <c r="B26" s="28" t="s">
        <v>115</v>
      </c>
      <c r="C26" s="28" t="s">
        <v>98</v>
      </c>
      <c r="D26" s="28">
        <v>5</v>
      </c>
      <c r="E26" s="28" t="s">
        <v>241</v>
      </c>
      <c r="F26" s="3" t="s">
        <v>408</v>
      </c>
      <c r="G26" s="3" t="s">
        <v>409</v>
      </c>
      <c r="H26" s="3" t="s">
        <v>410</v>
      </c>
      <c r="I26" s="3" t="s">
        <v>411</v>
      </c>
      <c r="J26" s="3" t="s">
        <v>412</v>
      </c>
      <c r="K26" s="3" t="s">
        <v>254</v>
      </c>
      <c r="L26" s="3" t="s">
        <v>413</v>
      </c>
    </row>
    <row r="27" spans="1:12" ht="54.75" customHeight="1" x14ac:dyDescent="0.35">
      <c r="A27" s="22" t="s">
        <v>129</v>
      </c>
      <c r="B27" s="22" t="s">
        <v>130</v>
      </c>
      <c r="C27" s="22" t="s">
        <v>127</v>
      </c>
      <c r="D27" s="22">
        <v>0</v>
      </c>
      <c r="E27" s="22" t="s">
        <v>221</v>
      </c>
      <c r="F27" s="23" t="s">
        <v>414</v>
      </c>
      <c r="G27" s="23" t="s">
        <v>254</v>
      </c>
      <c r="H27" s="23" t="s">
        <v>415</v>
      </c>
      <c r="I27" s="23" t="s">
        <v>416</v>
      </c>
      <c r="J27" s="23" t="s">
        <v>338</v>
      </c>
      <c r="K27" s="23" t="s">
        <v>417</v>
      </c>
      <c r="L27" s="23" t="s">
        <v>340</v>
      </c>
    </row>
    <row r="28" spans="1:12" ht="54.75" customHeight="1" x14ac:dyDescent="0.35">
      <c r="A28" s="24" t="s">
        <v>129</v>
      </c>
      <c r="B28" s="24" t="s">
        <v>130</v>
      </c>
      <c r="C28" s="24" t="s">
        <v>127</v>
      </c>
      <c r="D28" s="24">
        <v>1</v>
      </c>
      <c r="E28" s="24" t="s">
        <v>225</v>
      </c>
      <c r="F28" s="3" t="s">
        <v>418</v>
      </c>
      <c r="G28" s="3" t="s">
        <v>419</v>
      </c>
      <c r="H28" s="3" t="s">
        <v>420</v>
      </c>
      <c r="I28" s="3" t="s">
        <v>421</v>
      </c>
      <c r="J28" s="3" t="s">
        <v>422</v>
      </c>
      <c r="K28" s="3" t="s">
        <v>423</v>
      </c>
      <c r="L28" s="3" t="s">
        <v>424</v>
      </c>
    </row>
    <row r="29" spans="1:12" ht="54.75" customHeight="1" x14ac:dyDescent="0.35">
      <c r="A29" s="25" t="s">
        <v>129</v>
      </c>
      <c r="B29" s="25" t="s">
        <v>130</v>
      </c>
      <c r="C29" s="25" t="s">
        <v>127</v>
      </c>
      <c r="D29" s="25">
        <v>2</v>
      </c>
      <c r="E29" s="25" t="s">
        <v>229</v>
      </c>
      <c r="F29" s="23" t="s">
        <v>425</v>
      </c>
      <c r="G29" s="23" t="s">
        <v>426</v>
      </c>
      <c r="H29" s="23" t="s">
        <v>427</v>
      </c>
      <c r="I29" s="23" t="s">
        <v>428</v>
      </c>
      <c r="J29" s="23" t="s">
        <v>429</v>
      </c>
      <c r="K29" s="23" t="s">
        <v>430</v>
      </c>
      <c r="L29" s="23" t="s">
        <v>393</v>
      </c>
    </row>
    <row r="30" spans="1:12" ht="54.75" customHeight="1" x14ac:dyDescent="0.35">
      <c r="A30" s="26" t="s">
        <v>129</v>
      </c>
      <c r="B30" s="26" t="s">
        <v>130</v>
      </c>
      <c r="C30" s="26" t="s">
        <v>127</v>
      </c>
      <c r="D30" s="26">
        <v>3</v>
      </c>
      <c r="E30" s="26" t="s">
        <v>233</v>
      </c>
      <c r="F30" s="3" t="s">
        <v>431</v>
      </c>
      <c r="G30" s="3" t="s">
        <v>432</v>
      </c>
      <c r="H30" s="3" t="s">
        <v>433</v>
      </c>
      <c r="I30" s="3" t="s">
        <v>434</v>
      </c>
      <c r="J30" s="3" t="s">
        <v>435</v>
      </c>
      <c r="K30" s="3" t="s">
        <v>436</v>
      </c>
      <c r="L30" s="3" t="s">
        <v>400</v>
      </c>
    </row>
    <row r="31" spans="1:12" ht="54.75" customHeight="1" x14ac:dyDescent="0.35">
      <c r="A31" s="27" t="s">
        <v>129</v>
      </c>
      <c r="B31" s="27" t="s">
        <v>130</v>
      </c>
      <c r="C31" s="27" t="s">
        <v>127</v>
      </c>
      <c r="D31" s="27">
        <v>4</v>
      </c>
      <c r="E31" s="27" t="s">
        <v>237</v>
      </c>
      <c r="F31" s="23" t="s">
        <v>437</v>
      </c>
      <c r="G31" s="23" t="s">
        <v>438</v>
      </c>
      <c r="H31" s="23" t="s">
        <v>439</v>
      </c>
      <c r="I31" s="23" t="s">
        <v>440</v>
      </c>
      <c r="J31" s="23" t="s">
        <v>441</v>
      </c>
      <c r="K31" s="23" t="s">
        <v>442</v>
      </c>
      <c r="L31" s="23" t="s">
        <v>443</v>
      </c>
    </row>
    <row r="32" spans="1:12" ht="54.75" customHeight="1" x14ac:dyDescent="0.35">
      <c r="A32" s="28" t="s">
        <v>129</v>
      </c>
      <c r="B32" s="28" t="s">
        <v>130</v>
      </c>
      <c r="C32" s="28" t="s">
        <v>127</v>
      </c>
      <c r="D32" s="28">
        <v>5</v>
      </c>
      <c r="E32" s="28" t="s">
        <v>241</v>
      </c>
      <c r="F32" s="3" t="s">
        <v>444</v>
      </c>
      <c r="G32" s="3" t="s">
        <v>445</v>
      </c>
      <c r="H32" s="3" t="s">
        <v>446</v>
      </c>
      <c r="I32" s="3" t="s">
        <v>447</v>
      </c>
      <c r="J32" s="3" t="s">
        <v>448</v>
      </c>
      <c r="K32" s="3" t="s">
        <v>254</v>
      </c>
      <c r="L32" s="3" t="s">
        <v>449</v>
      </c>
    </row>
    <row r="33" spans="1:12" ht="54.75" customHeight="1" x14ac:dyDescent="0.35">
      <c r="A33" s="22" t="s">
        <v>144</v>
      </c>
      <c r="B33" s="22" t="s">
        <v>145</v>
      </c>
      <c r="C33" s="22" t="s">
        <v>127</v>
      </c>
      <c r="D33" s="22">
        <v>0</v>
      </c>
      <c r="E33" s="22" t="s">
        <v>221</v>
      </c>
      <c r="F33" s="23" t="s">
        <v>450</v>
      </c>
      <c r="G33" s="23" t="s">
        <v>254</v>
      </c>
      <c r="H33" s="23" t="s">
        <v>451</v>
      </c>
      <c r="I33" s="23" t="s">
        <v>452</v>
      </c>
      <c r="J33" s="23" t="s">
        <v>453</v>
      </c>
      <c r="K33" s="23" t="s">
        <v>454</v>
      </c>
      <c r="L33" s="23" t="s">
        <v>340</v>
      </c>
    </row>
    <row r="34" spans="1:12" ht="54.75" customHeight="1" x14ac:dyDescent="0.35">
      <c r="A34" s="24" t="s">
        <v>144</v>
      </c>
      <c r="B34" s="24" t="s">
        <v>145</v>
      </c>
      <c r="C34" s="24" t="s">
        <v>127</v>
      </c>
      <c r="D34" s="24">
        <v>1</v>
      </c>
      <c r="E34" s="24" t="s">
        <v>225</v>
      </c>
      <c r="F34" s="3" t="s">
        <v>455</v>
      </c>
      <c r="G34" s="3" t="s">
        <v>456</v>
      </c>
      <c r="H34" s="3" t="s">
        <v>457</v>
      </c>
      <c r="I34" s="3" t="s">
        <v>458</v>
      </c>
      <c r="J34" s="3" t="s">
        <v>459</v>
      </c>
      <c r="K34" s="3" t="s">
        <v>460</v>
      </c>
      <c r="L34" s="3" t="s">
        <v>424</v>
      </c>
    </row>
    <row r="35" spans="1:12" ht="54.75" customHeight="1" x14ac:dyDescent="0.35">
      <c r="A35" s="25" t="s">
        <v>144</v>
      </c>
      <c r="B35" s="25" t="s">
        <v>145</v>
      </c>
      <c r="C35" s="25" t="s">
        <v>127</v>
      </c>
      <c r="D35" s="25">
        <v>2</v>
      </c>
      <c r="E35" s="25" t="s">
        <v>229</v>
      </c>
      <c r="F35" s="23" t="s">
        <v>461</v>
      </c>
      <c r="G35" s="23" t="s">
        <v>462</v>
      </c>
      <c r="H35" s="23" t="s">
        <v>463</v>
      </c>
      <c r="I35" s="23" t="s">
        <v>464</v>
      </c>
      <c r="J35" s="23" t="s">
        <v>465</v>
      </c>
      <c r="K35" s="23" t="s">
        <v>466</v>
      </c>
      <c r="L35" s="23" t="s">
        <v>467</v>
      </c>
    </row>
    <row r="36" spans="1:12" ht="54.75" customHeight="1" x14ac:dyDescent="0.35">
      <c r="A36" s="26" t="s">
        <v>144</v>
      </c>
      <c r="B36" s="26" t="s">
        <v>145</v>
      </c>
      <c r="C36" s="26" t="s">
        <v>127</v>
      </c>
      <c r="D36" s="26">
        <v>3</v>
      </c>
      <c r="E36" s="26" t="s">
        <v>233</v>
      </c>
      <c r="F36" s="3" t="s">
        <v>468</v>
      </c>
      <c r="G36" s="3" t="s">
        <v>469</v>
      </c>
      <c r="H36" s="3" t="s">
        <v>470</v>
      </c>
      <c r="I36" s="3" t="s">
        <v>471</v>
      </c>
      <c r="J36" s="3" t="s">
        <v>472</v>
      </c>
      <c r="K36" s="3" t="s">
        <v>473</v>
      </c>
      <c r="L36" s="3" t="s">
        <v>474</v>
      </c>
    </row>
    <row r="37" spans="1:12" ht="54.75" customHeight="1" x14ac:dyDescent="0.35">
      <c r="A37" s="27" t="s">
        <v>144</v>
      </c>
      <c r="B37" s="27" t="s">
        <v>145</v>
      </c>
      <c r="C37" s="27" t="s">
        <v>127</v>
      </c>
      <c r="D37" s="27">
        <v>4</v>
      </c>
      <c r="E37" s="27" t="s">
        <v>237</v>
      </c>
      <c r="F37" s="23" t="s">
        <v>475</v>
      </c>
      <c r="G37" s="23" t="s">
        <v>476</v>
      </c>
      <c r="H37" s="23" t="s">
        <v>477</v>
      </c>
      <c r="I37" s="23" t="s">
        <v>478</v>
      </c>
      <c r="J37" s="23" t="s">
        <v>479</v>
      </c>
      <c r="K37" s="23" t="s">
        <v>480</v>
      </c>
      <c r="L37" s="23" t="s">
        <v>481</v>
      </c>
    </row>
    <row r="38" spans="1:12" ht="54.75" customHeight="1" x14ac:dyDescent="0.35">
      <c r="A38" s="28" t="s">
        <v>144</v>
      </c>
      <c r="B38" s="28" t="s">
        <v>145</v>
      </c>
      <c r="C38" s="28" t="s">
        <v>127</v>
      </c>
      <c r="D38" s="28">
        <v>5</v>
      </c>
      <c r="E38" s="28" t="s">
        <v>241</v>
      </c>
      <c r="F38" s="3" t="s">
        <v>482</v>
      </c>
      <c r="G38" s="3" t="s">
        <v>483</v>
      </c>
      <c r="H38" s="3" t="s">
        <v>484</v>
      </c>
      <c r="I38" s="3" t="s">
        <v>485</v>
      </c>
      <c r="J38" s="3" t="s">
        <v>486</v>
      </c>
      <c r="K38" s="3" t="s">
        <v>254</v>
      </c>
      <c r="L38" s="3" t="s">
        <v>487</v>
      </c>
    </row>
    <row r="39" spans="1:12" ht="54.75" customHeight="1" x14ac:dyDescent="0.35">
      <c r="A39" s="22" t="s">
        <v>160</v>
      </c>
      <c r="B39" s="22" t="s">
        <v>161</v>
      </c>
      <c r="C39" s="22" t="s">
        <v>158</v>
      </c>
      <c r="D39" s="22">
        <v>0</v>
      </c>
      <c r="E39" s="22" t="s">
        <v>221</v>
      </c>
      <c r="F39" s="23" t="s">
        <v>488</v>
      </c>
      <c r="G39" s="23" t="s">
        <v>254</v>
      </c>
      <c r="H39" s="23" t="s">
        <v>489</v>
      </c>
      <c r="I39" s="23" t="s">
        <v>490</v>
      </c>
      <c r="J39" s="23" t="s">
        <v>491</v>
      </c>
      <c r="K39" s="23" t="s">
        <v>492</v>
      </c>
      <c r="L39" s="23" t="s">
        <v>340</v>
      </c>
    </row>
    <row r="40" spans="1:12" ht="54.75" customHeight="1" x14ac:dyDescent="0.35">
      <c r="A40" s="24" t="s">
        <v>160</v>
      </c>
      <c r="B40" s="24" t="s">
        <v>161</v>
      </c>
      <c r="C40" s="24" t="s">
        <v>158</v>
      </c>
      <c r="D40" s="24">
        <v>1</v>
      </c>
      <c r="E40" s="24" t="s">
        <v>225</v>
      </c>
      <c r="F40" s="3" t="s">
        <v>493</v>
      </c>
      <c r="G40" s="3" t="s">
        <v>494</v>
      </c>
      <c r="H40" s="3" t="s">
        <v>495</v>
      </c>
      <c r="I40" s="3" t="s">
        <v>496</v>
      </c>
      <c r="J40" s="3" t="s">
        <v>497</v>
      </c>
      <c r="K40" s="3" t="s">
        <v>498</v>
      </c>
      <c r="L40" s="3" t="s">
        <v>424</v>
      </c>
    </row>
    <row r="41" spans="1:12" ht="54.75" customHeight="1" x14ac:dyDescent="0.35">
      <c r="A41" s="25" t="s">
        <v>160</v>
      </c>
      <c r="B41" s="25" t="s">
        <v>161</v>
      </c>
      <c r="C41" s="25" t="s">
        <v>158</v>
      </c>
      <c r="D41" s="25">
        <v>2</v>
      </c>
      <c r="E41" s="25" t="s">
        <v>229</v>
      </c>
      <c r="F41" s="23" t="s">
        <v>499</v>
      </c>
      <c r="G41" s="23" t="s">
        <v>500</v>
      </c>
      <c r="H41" s="23" t="s">
        <v>501</v>
      </c>
      <c r="I41" s="23" t="s">
        <v>502</v>
      </c>
      <c r="J41" s="23" t="s">
        <v>503</v>
      </c>
      <c r="K41" s="23" t="s">
        <v>504</v>
      </c>
      <c r="L41" s="23" t="s">
        <v>505</v>
      </c>
    </row>
    <row r="42" spans="1:12" ht="54.75" customHeight="1" x14ac:dyDescent="0.35">
      <c r="A42" s="26" t="s">
        <v>160</v>
      </c>
      <c r="B42" s="26" t="s">
        <v>161</v>
      </c>
      <c r="C42" s="26" t="s">
        <v>158</v>
      </c>
      <c r="D42" s="26">
        <v>3</v>
      </c>
      <c r="E42" s="26" t="s">
        <v>233</v>
      </c>
      <c r="F42" s="3" t="s">
        <v>506</v>
      </c>
      <c r="G42" s="3" t="s">
        <v>507</v>
      </c>
      <c r="H42" s="3" t="s">
        <v>508</v>
      </c>
      <c r="I42" s="3" t="s">
        <v>509</v>
      </c>
      <c r="J42" s="3" t="s">
        <v>510</v>
      </c>
      <c r="K42" s="3" t="s">
        <v>511</v>
      </c>
      <c r="L42" s="3" t="s">
        <v>400</v>
      </c>
    </row>
    <row r="43" spans="1:12" ht="54.75" customHeight="1" x14ac:dyDescent="0.35">
      <c r="A43" s="27" t="s">
        <v>160</v>
      </c>
      <c r="B43" s="27" t="s">
        <v>161</v>
      </c>
      <c r="C43" s="27" t="s">
        <v>158</v>
      </c>
      <c r="D43" s="27">
        <v>4</v>
      </c>
      <c r="E43" s="27" t="s">
        <v>237</v>
      </c>
      <c r="F43" s="23" t="s">
        <v>512</v>
      </c>
      <c r="G43" s="23" t="s">
        <v>513</v>
      </c>
      <c r="H43" s="23" t="s">
        <v>514</v>
      </c>
      <c r="I43" s="23" t="s">
        <v>515</v>
      </c>
      <c r="J43" s="23" t="s">
        <v>516</v>
      </c>
      <c r="K43" s="23" t="s">
        <v>517</v>
      </c>
      <c r="L43" s="23" t="s">
        <v>518</v>
      </c>
    </row>
    <row r="44" spans="1:12" ht="54.75" customHeight="1" x14ac:dyDescent="0.35">
      <c r="A44" s="28" t="s">
        <v>160</v>
      </c>
      <c r="B44" s="28" t="s">
        <v>161</v>
      </c>
      <c r="C44" s="28" t="s">
        <v>158</v>
      </c>
      <c r="D44" s="28">
        <v>5</v>
      </c>
      <c r="E44" s="28" t="s">
        <v>241</v>
      </c>
      <c r="F44" s="3" t="s">
        <v>519</v>
      </c>
      <c r="G44" s="3" t="s">
        <v>520</v>
      </c>
      <c r="H44" s="3" t="s">
        <v>521</v>
      </c>
      <c r="I44" s="3" t="s">
        <v>522</v>
      </c>
      <c r="J44" s="3" t="s">
        <v>523</v>
      </c>
      <c r="K44" s="3" t="s">
        <v>254</v>
      </c>
      <c r="L44" s="3" t="s">
        <v>524</v>
      </c>
    </row>
    <row r="45" spans="1:12" ht="54.75" customHeight="1" x14ac:dyDescent="0.35">
      <c r="A45" s="22" t="s">
        <v>173</v>
      </c>
      <c r="B45" s="22" t="s">
        <v>174</v>
      </c>
      <c r="C45" s="22" t="s">
        <v>158</v>
      </c>
      <c r="D45" s="22">
        <v>0</v>
      </c>
      <c r="E45" s="22" t="s">
        <v>221</v>
      </c>
      <c r="F45" s="23" t="s">
        <v>525</v>
      </c>
      <c r="G45" s="23" t="s">
        <v>254</v>
      </c>
      <c r="H45" s="23" t="s">
        <v>526</v>
      </c>
      <c r="I45" s="23" t="s">
        <v>527</v>
      </c>
      <c r="J45" s="23" t="s">
        <v>528</v>
      </c>
      <c r="K45" s="23" t="s">
        <v>529</v>
      </c>
      <c r="L45" s="23" t="s">
        <v>340</v>
      </c>
    </row>
    <row r="46" spans="1:12" ht="54.75" customHeight="1" x14ac:dyDescent="0.35">
      <c r="A46" s="24" t="s">
        <v>173</v>
      </c>
      <c r="B46" s="24" t="s">
        <v>174</v>
      </c>
      <c r="C46" s="24" t="s">
        <v>158</v>
      </c>
      <c r="D46" s="24">
        <v>1</v>
      </c>
      <c r="E46" s="24" t="s">
        <v>225</v>
      </c>
      <c r="F46" s="3" t="s">
        <v>530</v>
      </c>
      <c r="G46" s="3" t="s">
        <v>531</v>
      </c>
      <c r="H46" s="3" t="s">
        <v>532</v>
      </c>
      <c r="I46" s="3" t="s">
        <v>533</v>
      </c>
      <c r="J46" s="3" t="s">
        <v>534</v>
      </c>
      <c r="K46" s="3" t="s">
        <v>535</v>
      </c>
      <c r="L46" s="3" t="s">
        <v>424</v>
      </c>
    </row>
    <row r="47" spans="1:12" ht="54.75" customHeight="1" x14ac:dyDescent="0.35">
      <c r="A47" s="25" t="s">
        <v>173</v>
      </c>
      <c r="B47" s="25" t="s">
        <v>174</v>
      </c>
      <c r="C47" s="25" t="s">
        <v>158</v>
      </c>
      <c r="D47" s="25">
        <v>2</v>
      </c>
      <c r="E47" s="25" t="s">
        <v>229</v>
      </c>
      <c r="F47" s="23" t="s">
        <v>536</v>
      </c>
      <c r="G47" s="23" t="s">
        <v>537</v>
      </c>
      <c r="H47" s="23" t="s">
        <v>538</v>
      </c>
      <c r="I47" s="23" t="s">
        <v>539</v>
      </c>
      <c r="J47" s="23" t="s">
        <v>540</v>
      </c>
      <c r="K47" s="23" t="s">
        <v>541</v>
      </c>
      <c r="L47" s="23" t="s">
        <v>467</v>
      </c>
    </row>
    <row r="48" spans="1:12" ht="54.75" customHeight="1" x14ac:dyDescent="0.35">
      <c r="A48" s="26" t="s">
        <v>173</v>
      </c>
      <c r="B48" s="26" t="s">
        <v>174</v>
      </c>
      <c r="C48" s="26" t="s">
        <v>158</v>
      </c>
      <c r="D48" s="26">
        <v>3</v>
      </c>
      <c r="E48" s="26" t="s">
        <v>233</v>
      </c>
      <c r="F48" s="3" t="s">
        <v>542</v>
      </c>
      <c r="G48" s="3" t="s">
        <v>543</v>
      </c>
      <c r="H48" s="3" t="s">
        <v>544</v>
      </c>
      <c r="I48" s="3" t="s">
        <v>545</v>
      </c>
      <c r="J48" s="3" t="s">
        <v>546</v>
      </c>
      <c r="K48" s="3" t="s">
        <v>547</v>
      </c>
      <c r="L48" s="3" t="s">
        <v>474</v>
      </c>
    </row>
    <row r="49" spans="1:12" ht="54.75" customHeight="1" x14ac:dyDescent="0.35">
      <c r="A49" s="27" t="s">
        <v>173</v>
      </c>
      <c r="B49" s="27" t="s">
        <v>174</v>
      </c>
      <c r="C49" s="27" t="s">
        <v>158</v>
      </c>
      <c r="D49" s="27">
        <v>4</v>
      </c>
      <c r="E49" s="27" t="s">
        <v>237</v>
      </c>
      <c r="F49" s="23" t="s">
        <v>548</v>
      </c>
      <c r="G49" s="23" t="s">
        <v>549</v>
      </c>
      <c r="H49" s="23" t="s">
        <v>550</v>
      </c>
      <c r="I49" s="23" t="s">
        <v>551</v>
      </c>
      <c r="J49" s="23" t="s">
        <v>552</v>
      </c>
      <c r="K49" s="23" t="s">
        <v>553</v>
      </c>
      <c r="L49" s="23" t="s">
        <v>554</v>
      </c>
    </row>
    <row r="50" spans="1:12" ht="54.75" customHeight="1" x14ac:dyDescent="0.35">
      <c r="A50" s="28" t="s">
        <v>173</v>
      </c>
      <c r="B50" s="28" t="s">
        <v>174</v>
      </c>
      <c r="C50" s="28" t="s">
        <v>158</v>
      </c>
      <c r="D50" s="28">
        <v>5</v>
      </c>
      <c r="E50" s="28" t="s">
        <v>241</v>
      </c>
      <c r="F50" s="3" t="s">
        <v>555</v>
      </c>
      <c r="G50" s="3" t="s">
        <v>556</v>
      </c>
      <c r="H50" s="3" t="s">
        <v>557</v>
      </c>
      <c r="I50" s="3" t="s">
        <v>558</v>
      </c>
      <c r="J50" s="3" t="s">
        <v>559</v>
      </c>
      <c r="K50" s="3" t="s">
        <v>254</v>
      </c>
      <c r="L50" s="3" t="s">
        <v>560</v>
      </c>
    </row>
    <row r="51" spans="1:12" ht="54.75" customHeight="1" x14ac:dyDescent="0.35">
      <c r="A51" s="22" t="s">
        <v>188</v>
      </c>
      <c r="B51" s="22" t="s">
        <v>189</v>
      </c>
      <c r="C51" s="22" t="s">
        <v>186</v>
      </c>
      <c r="D51" s="22">
        <v>0</v>
      </c>
      <c r="E51" s="22" t="s">
        <v>221</v>
      </c>
      <c r="F51" s="23" t="s">
        <v>561</v>
      </c>
      <c r="G51" s="23" t="s">
        <v>254</v>
      </c>
      <c r="H51" s="23" t="s">
        <v>562</v>
      </c>
      <c r="I51" s="23" t="s">
        <v>563</v>
      </c>
      <c r="J51" s="23" t="s">
        <v>453</v>
      </c>
      <c r="K51" s="23" t="s">
        <v>564</v>
      </c>
      <c r="L51" s="23" t="s">
        <v>340</v>
      </c>
    </row>
    <row r="52" spans="1:12" ht="54.75" customHeight="1" x14ac:dyDescent="0.35">
      <c r="A52" s="24" t="s">
        <v>188</v>
      </c>
      <c r="B52" s="24" t="s">
        <v>189</v>
      </c>
      <c r="C52" s="24" t="s">
        <v>186</v>
      </c>
      <c r="D52" s="24">
        <v>1</v>
      </c>
      <c r="E52" s="24" t="s">
        <v>225</v>
      </c>
      <c r="F52" s="3" t="s">
        <v>565</v>
      </c>
      <c r="G52" s="3" t="s">
        <v>566</v>
      </c>
      <c r="H52" s="3" t="s">
        <v>567</v>
      </c>
      <c r="I52" s="3" t="s">
        <v>568</v>
      </c>
      <c r="J52" s="3" t="s">
        <v>569</v>
      </c>
      <c r="K52" s="3" t="s">
        <v>570</v>
      </c>
      <c r="L52" s="3" t="s">
        <v>424</v>
      </c>
    </row>
    <row r="53" spans="1:12" ht="54.75" customHeight="1" x14ac:dyDescent="0.35">
      <c r="A53" s="25" t="s">
        <v>188</v>
      </c>
      <c r="B53" s="25" t="s">
        <v>189</v>
      </c>
      <c r="C53" s="25" t="s">
        <v>186</v>
      </c>
      <c r="D53" s="25">
        <v>2</v>
      </c>
      <c r="E53" s="25" t="s">
        <v>229</v>
      </c>
      <c r="F53" s="23" t="s">
        <v>571</v>
      </c>
      <c r="G53" s="23" t="s">
        <v>572</v>
      </c>
      <c r="H53" s="23" t="s">
        <v>573</v>
      </c>
      <c r="I53" s="23" t="s">
        <v>574</v>
      </c>
      <c r="J53" s="23" t="s">
        <v>575</v>
      </c>
      <c r="K53" s="23" t="s">
        <v>576</v>
      </c>
      <c r="L53" s="23" t="s">
        <v>467</v>
      </c>
    </row>
    <row r="54" spans="1:12" ht="54.75" customHeight="1" x14ac:dyDescent="0.35">
      <c r="A54" s="26" t="s">
        <v>188</v>
      </c>
      <c r="B54" s="26" t="s">
        <v>189</v>
      </c>
      <c r="C54" s="26" t="s">
        <v>186</v>
      </c>
      <c r="D54" s="26">
        <v>3</v>
      </c>
      <c r="E54" s="26" t="s">
        <v>233</v>
      </c>
      <c r="F54" s="3" t="s">
        <v>577</v>
      </c>
      <c r="G54" s="3" t="s">
        <v>578</v>
      </c>
      <c r="H54" s="3" t="s">
        <v>579</v>
      </c>
      <c r="I54" s="3" t="s">
        <v>580</v>
      </c>
      <c r="J54" s="3" t="s">
        <v>581</v>
      </c>
      <c r="K54" s="3" t="s">
        <v>582</v>
      </c>
      <c r="L54" s="3" t="s">
        <v>474</v>
      </c>
    </row>
    <row r="55" spans="1:12" ht="54.75" customHeight="1" x14ac:dyDescent="0.35">
      <c r="A55" s="27" t="s">
        <v>188</v>
      </c>
      <c r="B55" s="27" t="s">
        <v>189</v>
      </c>
      <c r="C55" s="27" t="s">
        <v>186</v>
      </c>
      <c r="D55" s="27">
        <v>4</v>
      </c>
      <c r="E55" s="27" t="s">
        <v>237</v>
      </c>
      <c r="F55" s="23" t="s">
        <v>583</v>
      </c>
      <c r="G55" s="23" t="s">
        <v>584</v>
      </c>
      <c r="H55" s="23" t="s">
        <v>585</v>
      </c>
      <c r="I55" s="23" t="s">
        <v>586</v>
      </c>
      <c r="J55" s="23" t="s">
        <v>587</v>
      </c>
      <c r="K55" s="23" t="s">
        <v>588</v>
      </c>
      <c r="L55" s="23" t="s">
        <v>589</v>
      </c>
    </row>
    <row r="56" spans="1:12" ht="54.75" customHeight="1" x14ac:dyDescent="0.35">
      <c r="A56" s="28" t="s">
        <v>188</v>
      </c>
      <c r="B56" s="28" t="s">
        <v>189</v>
      </c>
      <c r="C56" s="28" t="s">
        <v>186</v>
      </c>
      <c r="D56" s="28">
        <v>5</v>
      </c>
      <c r="E56" s="28" t="s">
        <v>241</v>
      </c>
      <c r="F56" s="3" t="s">
        <v>590</v>
      </c>
      <c r="G56" s="3" t="s">
        <v>591</v>
      </c>
      <c r="H56" s="3" t="s">
        <v>592</v>
      </c>
      <c r="I56" s="3" t="s">
        <v>593</v>
      </c>
      <c r="J56" s="3" t="s">
        <v>594</v>
      </c>
      <c r="K56" s="3" t="s">
        <v>254</v>
      </c>
      <c r="L56" s="3" t="s">
        <v>595</v>
      </c>
    </row>
    <row r="57" spans="1:12" ht="54.75" customHeight="1" x14ac:dyDescent="0.35">
      <c r="A57" s="22" t="s">
        <v>202</v>
      </c>
      <c r="B57" s="22" t="s">
        <v>203</v>
      </c>
      <c r="C57" s="22" t="s">
        <v>186</v>
      </c>
      <c r="D57" s="22">
        <v>0</v>
      </c>
      <c r="E57" s="22" t="s">
        <v>221</v>
      </c>
      <c r="F57" s="23" t="s">
        <v>596</v>
      </c>
      <c r="G57" s="23" t="s">
        <v>254</v>
      </c>
      <c r="H57" s="23" t="s">
        <v>597</v>
      </c>
      <c r="I57" s="23" t="s">
        <v>598</v>
      </c>
      <c r="J57" s="23" t="s">
        <v>453</v>
      </c>
      <c r="K57" s="23" t="s">
        <v>599</v>
      </c>
      <c r="L57" s="23" t="s">
        <v>340</v>
      </c>
    </row>
    <row r="58" spans="1:12" ht="54.75" customHeight="1" x14ac:dyDescent="0.35">
      <c r="A58" s="24" t="s">
        <v>202</v>
      </c>
      <c r="B58" s="24" t="s">
        <v>203</v>
      </c>
      <c r="C58" s="24" t="s">
        <v>186</v>
      </c>
      <c r="D58" s="24">
        <v>1</v>
      </c>
      <c r="E58" s="24" t="s">
        <v>225</v>
      </c>
      <c r="F58" s="3" t="s">
        <v>601</v>
      </c>
      <c r="G58" s="3" t="s">
        <v>602</v>
      </c>
      <c r="H58" s="3" t="s">
        <v>603</v>
      </c>
      <c r="I58" s="3" t="s">
        <v>604</v>
      </c>
      <c r="J58" s="3" t="s">
        <v>605</v>
      </c>
      <c r="K58" s="3" t="s">
        <v>606</v>
      </c>
      <c r="L58" s="3" t="s">
        <v>424</v>
      </c>
    </row>
    <row r="59" spans="1:12" ht="54.75" customHeight="1" x14ac:dyDescent="0.35">
      <c r="A59" s="25" t="s">
        <v>202</v>
      </c>
      <c r="B59" s="25" t="s">
        <v>203</v>
      </c>
      <c r="C59" s="25" t="s">
        <v>186</v>
      </c>
      <c r="D59" s="25">
        <v>2</v>
      </c>
      <c r="E59" s="25" t="s">
        <v>229</v>
      </c>
      <c r="F59" s="23" t="s">
        <v>607</v>
      </c>
      <c r="G59" s="23" t="s">
        <v>608</v>
      </c>
      <c r="H59" s="23" t="s">
        <v>609</v>
      </c>
      <c r="I59" s="23" t="s">
        <v>610</v>
      </c>
      <c r="J59" s="23" t="s">
        <v>611</v>
      </c>
      <c r="K59" s="23" t="s">
        <v>612</v>
      </c>
      <c r="L59" s="23" t="s">
        <v>467</v>
      </c>
    </row>
    <row r="60" spans="1:12" ht="54.75" customHeight="1" x14ac:dyDescent="0.35">
      <c r="A60" s="26" t="s">
        <v>202</v>
      </c>
      <c r="B60" s="26" t="s">
        <v>203</v>
      </c>
      <c r="C60" s="26" t="s">
        <v>186</v>
      </c>
      <c r="D60" s="26">
        <v>3</v>
      </c>
      <c r="E60" s="26" t="s">
        <v>233</v>
      </c>
      <c r="F60" s="3" t="s">
        <v>613</v>
      </c>
      <c r="G60" s="3" t="s">
        <v>614</v>
      </c>
      <c r="H60" s="3" t="s">
        <v>615</v>
      </c>
      <c r="I60" s="3" t="s">
        <v>616</v>
      </c>
      <c r="J60" s="3" t="s">
        <v>617</v>
      </c>
      <c r="K60" s="3" t="s">
        <v>618</v>
      </c>
      <c r="L60" s="3" t="s">
        <v>474</v>
      </c>
    </row>
    <row r="61" spans="1:12" ht="54.75" customHeight="1" x14ac:dyDescent="0.35">
      <c r="A61" s="27" t="s">
        <v>202</v>
      </c>
      <c r="B61" s="27" t="s">
        <v>203</v>
      </c>
      <c r="C61" s="27" t="s">
        <v>186</v>
      </c>
      <c r="D61" s="27">
        <v>4</v>
      </c>
      <c r="E61" s="27" t="s">
        <v>237</v>
      </c>
      <c r="F61" s="23" t="s">
        <v>619</v>
      </c>
      <c r="G61" s="23" t="s">
        <v>620</v>
      </c>
      <c r="H61" s="23" t="s">
        <v>621</v>
      </c>
      <c r="I61" s="23" t="s">
        <v>622</v>
      </c>
      <c r="J61" s="23" t="s">
        <v>623</v>
      </c>
      <c r="K61" s="23" t="s">
        <v>624</v>
      </c>
      <c r="L61" s="23" t="s">
        <v>589</v>
      </c>
    </row>
    <row r="62" spans="1:12" ht="54.75" customHeight="1" x14ac:dyDescent="0.35">
      <c r="A62" s="28" t="s">
        <v>202</v>
      </c>
      <c r="B62" s="28" t="s">
        <v>203</v>
      </c>
      <c r="C62" s="28" t="s">
        <v>186</v>
      </c>
      <c r="D62" s="28">
        <v>5</v>
      </c>
      <c r="E62" s="28" t="s">
        <v>241</v>
      </c>
      <c r="F62" s="3" t="s">
        <v>625</v>
      </c>
      <c r="G62" s="3" t="s">
        <v>626</v>
      </c>
      <c r="H62" s="3" t="s">
        <v>627</v>
      </c>
      <c r="I62" s="3" t="s">
        <v>628</v>
      </c>
      <c r="J62" s="3" t="s">
        <v>629</v>
      </c>
      <c r="K62" s="3" t="s">
        <v>254</v>
      </c>
      <c r="L62" s="3" t="s">
        <v>560</v>
      </c>
    </row>
  </sheetData>
  <autoFilter ref="A2:L2" xr:uid="{00000000-0009-0000-0000-000004000000}"/>
  <mergeCells count="1">
    <mergeCell ref="A1:L1"/>
  </mergeCells>
  <pageMargins left="0.75" right="0.75" top="1" bottom="1" header="0.511811023622047" footer="0.511811023622047"/>
  <pageSetup paperSize="9"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D7D31"/>
  </sheetPr>
  <dimension ref="A1:F14"/>
  <sheetViews>
    <sheetView showGridLines="0" zoomScale="68" zoomScaleNormal="100" workbookViewId="0">
      <pane ySplit="2" topLeftCell="A3" activePane="bottomLeft" state="frozen"/>
      <selection pane="bottomLeft" activeCell="I20" sqref="I20"/>
    </sheetView>
  </sheetViews>
  <sheetFormatPr baseColWidth="10" defaultColWidth="8.6328125" defaultRowHeight="14.5" x14ac:dyDescent="0.35"/>
  <cols>
    <col min="1" max="1" width="12" customWidth="1"/>
    <col min="2" max="2" width="32" customWidth="1"/>
    <col min="3" max="5" width="18" customWidth="1"/>
    <col min="6" max="6" width="60" customWidth="1"/>
  </cols>
  <sheetData>
    <row r="1" spans="1:6" ht="21.75" customHeight="1" x14ac:dyDescent="0.35">
      <c r="A1" s="38" t="s">
        <v>630</v>
      </c>
      <c r="B1" s="38"/>
      <c r="C1" s="38"/>
      <c r="D1" s="38"/>
      <c r="E1" s="38"/>
      <c r="F1" s="38"/>
    </row>
    <row r="2" spans="1:6" ht="21.75" customHeight="1" x14ac:dyDescent="0.35">
      <c r="A2" s="1" t="s">
        <v>59</v>
      </c>
      <c r="B2" s="1" t="s">
        <v>60</v>
      </c>
      <c r="C2" s="1" t="s">
        <v>631</v>
      </c>
      <c r="D2" s="1" t="s">
        <v>632</v>
      </c>
      <c r="E2" s="1" t="s">
        <v>633</v>
      </c>
      <c r="F2" s="1" t="s">
        <v>634</v>
      </c>
    </row>
    <row r="3" spans="1:6" ht="45" customHeight="1" x14ac:dyDescent="0.35">
      <c r="A3" s="3" t="s">
        <v>71</v>
      </c>
      <c r="B3" s="3" t="s">
        <v>72</v>
      </c>
      <c r="C3" s="3">
        <v>3</v>
      </c>
      <c r="D3" s="29"/>
      <c r="E3" s="30">
        <f t="shared" ref="E3:E12" si="0">IF(D3&lt;&gt;"",D3,C3)</f>
        <v>3</v>
      </c>
      <c r="F3" s="3" t="s">
        <v>636</v>
      </c>
    </row>
    <row r="4" spans="1:6" ht="45" customHeight="1" x14ac:dyDescent="0.35">
      <c r="A4" s="5" t="s">
        <v>85</v>
      </c>
      <c r="B4" s="5" t="s">
        <v>86</v>
      </c>
      <c r="C4" s="5">
        <v>3</v>
      </c>
      <c r="D4" s="29"/>
      <c r="E4" s="30">
        <f t="shared" si="0"/>
        <v>3</v>
      </c>
      <c r="F4" s="5" t="s">
        <v>637</v>
      </c>
    </row>
    <row r="5" spans="1:6" ht="45" customHeight="1" x14ac:dyDescent="0.35">
      <c r="A5" s="3" t="s">
        <v>100</v>
      </c>
      <c r="B5" s="3" t="s">
        <v>101</v>
      </c>
      <c r="C5" s="3">
        <v>3</v>
      </c>
      <c r="D5" s="29"/>
      <c r="E5" s="30">
        <f t="shared" si="0"/>
        <v>3</v>
      </c>
      <c r="F5" s="3" t="s">
        <v>638</v>
      </c>
    </row>
    <row r="6" spans="1:6" ht="45" customHeight="1" x14ac:dyDescent="0.35">
      <c r="A6" s="5" t="s">
        <v>114</v>
      </c>
      <c r="B6" s="5" t="s">
        <v>115</v>
      </c>
      <c r="C6" s="5">
        <v>3</v>
      </c>
      <c r="D6" s="29"/>
      <c r="E6" s="30">
        <f t="shared" si="0"/>
        <v>3</v>
      </c>
      <c r="F6" s="5" t="s">
        <v>639</v>
      </c>
    </row>
    <row r="7" spans="1:6" ht="45" customHeight="1" x14ac:dyDescent="0.35">
      <c r="A7" s="3" t="s">
        <v>129</v>
      </c>
      <c r="B7" s="3" t="s">
        <v>130</v>
      </c>
      <c r="C7" s="3">
        <v>3</v>
      </c>
      <c r="D7" s="29"/>
      <c r="E7" s="30">
        <f t="shared" si="0"/>
        <v>3</v>
      </c>
      <c r="F7" s="3" t="s">
        <v>640</v>
      </c>
    </row>
    <row r="8" spans="1:6" ht="45" customHeight="1" x14ac:dyDescent="0.35">
      <c r="A8" s="5" t="s">
        <v>144</v>
      </c>
      <c r="B8" s="5" t="s">
        <v>145</v>
      </c>
      <c r="C8" s="5">
        <v>3</v>
      </c>
      <c r="D8" s="29"/>
      <c r="E8" s="30">
        <f t="shared" si="0"/>
        <v>3</v>
      </c>
      <c r="F8" s="5" t="s">
        <v>641</v>
      </c>
    </row>
    <row r="9" spans="1:6" ht="45" customHeight="1" x14ac:dyDescent="0.35">
      <c r="A9" s="3" t="s">
        <v>160</v>
      </c>
      <c r="B9" s="3" t="s">
        <v>161</v>
      </c>
      <c r="C9" s="3">
        <v>3</v>
      </c>
      <c r="D9" s="29"/>
      <c r="E9" s="30">
        <f t="shared" si="0"/>
        <v>3</v>
      </c>
      <c r="F9" s="3" t="s">
        <v>642</v>
      </c>
    </row>
    <row r="10" spans="1:6" ht="45" customHeight="1" x14ac:dyDescent="0.35">
      <c r="A10" s="5" t="s">
        <v>173</v>
      </c>
      <c r="B10" s="5" t="s">
        <v>174</v>
      </c>
      <c r="C10" s="5">
        <v>3</v>
      </c>
      <c r="D10" s="29"/>
      <c r="E10" s="30">
        <f t="shared" si="0"/>
        <v>3</v>
      </c>
      <c r="F10" s="5" t="s">
        <v>643</v>
      </c>
    </row>
    <row r="11" spans="1:6" ht="45" customHeight="1" x14ac:dyDescent="0.35">
      <c r="A11" s="3" t="s">
        <v>188</v>
      </c>
      <c r="B11" s="3" t="s">
        <v>189</v>
      </c>
      <c r="C11" s="3">
        <v>3</v>
      </c>
      <c r="D11" s="29"/>
      <c r="E11" s="30">
        <f t="shared" si="0"/>
        <v>3</v>
      </c>
      <c r="F11" s="3" t="s">
        <v>644</v>
      </c>
    </row>
    <row r="12" spans="1:6" ht="45" customHeight="1" x14ac:dyDescent="0.35">
      <c r="A12" s="5" t="s">
        <v>202</v>
      </c>
      <c r="B12" s="5" t="s">
        <v>203</v>
      </c>
      <c r="C12" s="5">
        <v>3</v>
      </c>
      <c r="D12" s="29"/>
      <c r="E12" s="30">
        <f t="shared" si="0"/>
        <v>3</v>
      </c>
      <c r="F12" s="5" t="s">
        <v>645</v>
      </c>
    </row>
    <row r="14" spans="1:6" ht="15" customHeight="1" x14ac:dyDescent="0.35">
      <c r="A14" s="39" t="s">
        <v>2607</v>
      </c>
      <c r="B14" s="39"/>
      <c r="C14" s="39"/>
      <c r="D14" s="39"/>
      <c r="E14" s="39"/>
      <c r="F14" s="39"/>
    </row>
  </sheetData>
  <autoFilter ref="A2:F2" xr:uid="{00000000-0009-0000-0000-000005000000}"/>
  <mergeCells count="2">
    <mergeCell ref="A1:F1"/>
    <mergeCell ref="A14:F14"/>
  </mergeCells>
  <dataValidations count="1">
    <dataValidation type="list" allowBlank="1" sqref="D3:D12" xr:uid="{00000000-0002-0000-0500-000000000000}">
      <formula1>"0,1,2,3,4,5"</formula1>
      <formula2>0</formula2>
    </dataValidation>
  </dataValidations>
  <pageMargins left="0.75" right="0.75" top="1" bottom="1" header="0.511811023622047" footer="0.511811023622047"/>
  <pageSetup paperSize="9"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D7D31"/>
  </sheetPr>
  <dimension ref="A1:J39"/>
  <sheetViews>
    <sheetView showGridLines="0" zoomScaleNormal="100" workbookViewId="0">
      <pane ySplit="2" topLeftCell="A3" activePane="bottomLeft" state="frozen"/>
      <selection pane="bottomLeft" sqref="A1:J1"/>
    </sheetView>
  </sheetViews>
  <sheetFormatPr baseColWidth="10" defaultColWidth="8.6328125" defaultRowHeight="14.5" x14ac:dyDescent="0.35"/>
  <cols>
    <col min="1" max="1" width="15" customWidth="1"/>
    <col min="2" max="2" width="12" customWidth="1"/>
    <col min="3" max="3" width="14" customWidth="1"/>
    <col min="4" max="4" width="32" customWidth="1"/>
    <col min="5" max="5" width="14" customWidth="1"/>
    <col min="6" max="6" width="18" customWidth="1"/>
    <col min="7" max="7" width="16" customWidth="1"/>
    <col min="8" max="8" width="14" customWidth="1"/>
    <col min="9" max="9" width="50" customWidth="1"/>
    <col min="10" max="10" width="14" customWidth="1"/>
  </cols>
  <sheetData>
    <row r="1" spans="1:10" ht="21.75" customHeight="1" x14ac:dyDescent="0.35">
      <c r="A1" s="38" t="s">
        <v>646</v>
      </c>
      <c r="B1" s="38"/>
      <c r="C1" s="38"/>
      <c r="D1" s="38"/>
      <c r="E1" s="38"/>
      <c r="F1" s="38"/>
      <c r="G1" s="38"/>
      <c r="H1" s="38"/>
      <c r="I1" s="38"/>
      <c r="J1" s="38"/>
    </row>
    <row r="2" spans="1:10" ht="21.75" customHeight="1" x14ac:dyDescent="0.35">
      <c r="A2" s="1" t="s">
        <v>647</v>
      </c>
      <c r="B2" s="1" t="s">
        <v>648</v>
      </c>
      <c r="C2" s="1" t="s">
        <v>649</v>
      </c>
      <c r="D2" s="1" t="s">
        <v>650</v>
      </c>
      <c r="E2" s="1" t="s">
        <v>651</v>
      </c>
      <c r="F2" s="1" t="s">
        <v>652</v>
      </c>
      <c r="G2" s="1" t="s">
        <v>653</v>
      </c>
      <c r="H2" s="1" t="s">
        <v>654</v>
      </c>
      <c r="I2" s="1" t="s">
        <v>655</v>
      </c>
      <c r="J2" s="1" t="s">
        <v>635</v>
      </c>
    </row>
    <row r="3" spans="1:10" ht="21.75" customHeight="1" x14ac:dyDescent="0.35">
      <c r="A3" s="24" t="s">
        <v>656</v>
      </c>
      <c r="B3" s="24" t="s">
        <v>657</v>
      </c>
      <c r="C3" s="24" t="s">
        <v>69</v>
      </c>
      <c r="D3" s="24" t="s">
        <v>70</v>
      </c>
      <c r="E3" s="6">
        <v>0.2</v>
      </c>
      <c r="F3" s="31"/>
      <c r="G3" s="30">
        <f t="shared" ref="G3:G37" si="0">IF(F3&lt;&gt;"",F3,E3)</f>
        <v>0.2</v>
      </c>
      <c r="H3" s="6" t="s">
        <v>658</v>
      </c>
      <c r="I3" s="6" t="s">
        <v>659</v>
      </c>
      <c r="J3" s="6" t="s">
        <v>79</v>
      </c>
    </row>
    <row r="4" spans="1:10" ht="21.75" customHeight="1" x14ac:dyDescent="0.35">
      <c r="A4" s="32" t="s">
        <v>656</v>
      </c>
      <c r="B4" s="32" t="s">
        <v>657</v>
      </c>
      <c r="C4" s="32" t="s">
        <v>98</v>
      </c>
      <c r="D4" s="32" t="s">
        <v>99</v>
      </c>
      <c r="E4" s="7">
        <v>0.2</v>
      </c>
      <c r="F4" s="31"/>
      <c r="G4" s="30">
        <f t="shared" si="0"/>
        <v>0.2</v>
      </c>
      <c r="H4" s="7" t="s">
        <v>658</v>
      </c>
      <c r="I4" s="7" t="s">
        <v>659</v>
      </c>
      <c r="J4" s="7" t="s">
        <v>79</v>
      </c>
    </row>
    <row r="5" spans="1:10" ht="21.75" customHeight="1" x14ac:dyDescent="0.35">
      <c r="A5" s="29" t="s">
        <v>656</v>
      </c>
      <c r="B5" s="29" t="s">
        <v>657</v>
      </c>
      <c r="C5" s="29" t="s">
        <v>127</v>
      </c>
      <c r="D5" s="29" t="s">
        <v>128</v>
      </c>
      <c r="E5" s="8">
        <v>0.2</v>
      </c>
      <c r="F5" s="31"/>
      <c r="G5" s="30">
        <f t="shared" si="0"/>
        <v>0.2</v>
      </c>
      <c r="H5" s="8" t="s">
        <v>658</v>
      </c>
      <c r="I5" s="8" t="s">
        <v>659</v>
      </c>
      <c r="J5" s="8" t="s">
        <v>79</v>
      </c>
    </row>
    <row r="6" spans="1:10" ht="21.75" customHeight="1" x14ac:dyDescent="0.35">
      <c r="A6" s="33" t="s">
        <v>656</v>
      </c>
      <c r="B6" s="33" t="s">
        <v>657</v>
      </c>
      <c r="C6" s="33" t="s">
        <v>158</v>
      </c>
      <c r="D6" s="33" t="s">
        <v>159</v>
      </c>
      <c r="E6" s="9">
        <v>0.2</v>
      </c>
      <c r="F6" s="31"/>
      <c r="G6" s="30">
        <f t="shared" si="0"/>
        <v>0.2</v>
      </c>
      <c r="H6" s="9" t="s">
        <v>658</v>
      </c>
      <c r="I6" s="9" t="s">
        <v>659</v>
      </c>
      <c r="J6" s="9" t="s">
        <v>79</v>
      </c>
    </row>
    <row r="7" spans="1:10" ht="21.75" customHeight="1" x14ac:dyDescent="0.35">
      <c r="A7" s="34" t="s">
        <v>656</v>
      </c>
      <c r="B7" s="34" t="s">
        <v>657</v>
      </c>
      <c r="C7" s="34" t="s">
        <v>186</v>
      </c>
      <c r="D7" s="34" t="s">
        <v>187</v>
      </c>
      <c r="E7" s="10">
        <v>0.2</v>
      </c>
      <c r="F7" s="31"/>
      <c r="G7" s="30">
        <f t="shared" si="0"/>
        <v>0.2</v>
      </c>
      <c r="H7" s="10" t="s">
        <v>658</v>
      </c>
      <c r="I7" s="10" t="s">
        <v>659</v>
      </c>
      <c r="J7" s="10" t="s">
        <v>79</v>
      </c>
    </row>
    <row r="8" spans="1:10" ht="21.75" customHeight="1" x14ac:dyDescent="0.35">
      <c r="A8" s="5" t="s">
        <v>660</v>
      </c>
      <c r="B8" s="5" t="s">
        <v>69</v>
      </c>
      <c r="C8" s="5" t="s">
        <v>71</v>
      </c>
      <c r="D8" s="5" t="s">
        <v>72</v>
      </c>
      <c r="E8" s="5">
        <v>0.5</v>
      </c>
      <c r="F8" s="31"/>
      <c r="G8" s="30">
        <f t="shared" si="0"/>
        <v>0.5</v>
      </c>
      <c r="H8" s="5" t="s">
        <v>658</v>
      </c>
      <c r="I8" s="5" t="s">
        <v>661</v>
      </c>
      <c r="J8" s="5" t="s">
        <v>79</v>
      </c>
    </row>
    <row r="9" spans="1:10" ht="21.75" customHeight="1" x14ac:dyDescent="0.35">
      <c r="A9" s="3" t="s">
        <v>660</v>
      </c>
      <c r="B9" s="3" t="s">
        <v>69</v>
      </c>
      <c r="C9" s="3" t="s">
        <v>85</v>
      </c>
      <c r="D9" s="3" t="s">
        <v>86</v>
      </c>
      <c r="E9" s="3">
        <v>0.5</v>
      </c>
      <c r="F9" s="31"/>
      <c r="G9" s="30">
        <f t="shared" si="0"/>
        <v>0.5</v>
      </c>
      <c r="H9" s="3" t="s">
        <v>658</v>
      </c>
      <c r="I9" s="3" t="s">
        <v>661</v>
      </c>
      <c r="J9" s="3" t="s">
        <v>79</v>
      </c>
    </row>
    <row r="10" spans="1:10" ht="21.75" customHeight="1" x14ac:dyDescent="0.35">
      <c r="A10" s="5" t="s">
        <v>660</v>
      </c>
      <c r="B10" s="5" t="s">
        <v>98</v>
      </c>
      <c r="C10" s="5" t="s">
        <v>100</v>
      </c>
      <c r="D10" s="5" t="s">
        <v>101</v>
      </c>
      <c r="E10" s="5">
        <v>0.5</v>
      </c>
      <c r="F10" s="31"/>
      <c r="G10" s="30">
        <f t="shared" si="0"/>
        <v>0.5</v>
      </c>
      <c r="H10" s="5" t="s">
        <v>658</v>
      </c>
      <c r="I10" s="5" t="s">
        <v>661</v>
      </c>
      <c r="J10" s="5" t="s">
        <v>79</v>
      </c>
    </row>
    <row r="11" spans="1:10" ht="21.75" customHeight="1" x14ac:dyDescent="0.35">
      <c r="A11" s="3" t="s">
        <v>660</v>
      </c>
      <c r="B11" s="3" t="s">
        <v>98</v>
      </c>
      <c r="C11" s="3" t="s">
        <v>114</v>
      </c>
      <c r="D11" s="3" t="s">
        <v>115</v>
      </c>
      <c r="E11" s="3">
        <v>0.5</v>
      </c>
      <c r="F11" s="31"/>
      <c r="G11" s="30">
        <f t="shared" si="0"/>
        <v>0.5</v>
      </c>
      <c r="H11" s="3" t="s">
        <v>658</v>
      </c>
      <c r="I11" s="3" t="s">
        <v>661</v>
      </c>
      <c r="J11" s="3" t="s">
        <v>79</v>
      </c>
    </row>
    <row r="12" spans="1:10" ht="21.75" customHeight="1" x14ac:dyDescent="0.35">
      <c r="A12" s="5" t="s">
        <v>660</v>
      </c>
      <c r="B12" s="5" t="s">
        <v>127</v>
      </c>
      <c r="C12" s="5" t="s">
        <v>129</v>
      </c>
      <c r="D12" s="5" t="s">
        <v>130</v>
      </c>
      <c r="E12" s="5">
        <v>0.5</v>
      </c>
      <c r="F12" s="31"/>
      <c r="G12" s="30">
        <f t="shared" si="0"/>
        <v>0.5</v>
      </c>
      <c r="H12" s="5" t="s">
        <v>658</v>
      </c>
      <c r="I12" s="5" t="s">
        <v>661</v>
      </c>
      <c r="J12" s="5" t="s">
        <v>79</v>
      </c>
    </row>
    <row r="13" spans="1:10" ht="21.75" customHeight="1" x14ac:dyDescent="0.35">
      <c r="A13" s="3" t="s">
        <v>660</v>
      </c>
      <c r="B13" s="3" t="s">
        <v>127</v>
      </c>
      <c r="C13" s="3" t="s">
        <v>144</v>
      </c>
      <c r="D13" s="3" t="s">
        <v>145</v>
      </c>
      <c r="E13" s="3">
        <v>0.5</v>
      </c>
      <c r="F13" s="31"/>
      <c r="G13" s="30">
        <f t="shared" si="0"/>
        <v>0.5</v>
      </c>
      <c r="H13" s="3" t="s">
        <v>658</v>
      </c>
      <c r="I13" s="3" t="s">
        <v>661</v>
      </c>
      <c r="J13" s="3" t="s">
        <v>79</v>
      </c>
    </row>
    <row r="14" spans="1:10" ht="21.75" customHeight="1" x14ac:dyDescent="0.35">
      <c r="A14" s="5" t="s">
        <v>660</v>
      </c>
      <c r="B14" s="5" t="s">
        <v>158</v>
      </c>
      <c r="C14" s="5" t="s">
        <v>160</v>
      </c>
      <c r="D14" s="5" t="s">
        <v>161</v>
      </c>
      <c r="E14" s="5">
        <v>0.5</v>
      </c>
      <c r="F14" s="31"/>
      <c r="G14" s="30">
        <f t="shared" si="0"/>
        <v>0.5</v>
      </c>
      <c r="H14" s="5" t="s">
        <v>658</v>
      </c>
      <c r="I14" s="5" t="s">
        <v>661</v>
      </c>
      <c r="J14" s="5" t="s">
        <v>79</v>
      </c>
    </row>
    <row r="15" spans="1:10" ht="21.75" customHeight="1" x14ac:dyDescent="0.35">
      <c r="A15" s="3" t="s">
        <v>660</v>
      </c>
      <c r="B15" s="3" t="s">
        <v>158</v>
      </c>
      <c r="C15" s="3" t="s">
        <v>173</v>
      </c>
      <c r="D15" s="3" t="s">
        <v>174</v>
      </c>
      <c r="E15" s="3">
        <v>0.5</v>
      </c>
      <c r="F15" s="31"/>
      <c r="G15" s="30">
        <f t="shared" si="0"/>
        <v>0.5</v>
      </c>
      <c r="H15" s="3" t="s">
        <v>658</v>
      </c>
      <c r="I15" s="3" t="s">
        <v>661</v>
      </c>
      <c r="J15" s="3" t="s">
        <v>79</v>
      </c>
    </row>
    <row r="16" spans="1:10" ht="21.75" customHeight="1" x14ac:dyDescent="0.35">
      <c r="A16" s="5" t="s">
        <v>660</v>
      </c>
      <c r="B16" s="5" t="s">
        <v>186</v>
      </c>
      <c r="C16" s="5" t="s">
        <v>188</v>
      </c>
      <c r="D16" s="5" t="s">
        <v>189</v>
      </c>
      <c r="E16" s="5">
        <v>0.5</v>
      </c>
      <c r="F16" s="31"/>
      <c r="G16" s="30">
        <f t="shared" si="0"/>
        <v>0.5</v>
      </c>
      <c r="H16" s="5" t="s">
        <v>658</v>
      </c>
      <c r="I16" s="5" t="s">
        <v>661</v>
      </c>
      <c r="J16" s="5" t="s">
        <v>79</v>
      </c>
    </row>
    <row r="17" spans="1:10" ht="21.75" customHeight="1" x14ac:dyDescent="0.35">
      <c r="A17" s="3" t="s">
        <v>660</v>
      </c>
      <c r="B17" s="3" t="s">
        <v>186</v>
      </c>
      <c r="C17" s="3" t="s">
        <v>202</v>
      </c>
      <c r="D17" s="3" t="s">
        <v>203</v>
      </c>
      <c r="E17" s="3">
        <v>0.5</v>
      </c>
      <c r="F17" s="31"/>
      <c r="G17" s="30">
        <f t="shared" si="0"/>
        <v>0.5</v>
      </c>
      <c r="H17" s="3" t="s">
        <v>658</v>
      </c>
      <c r="I17" s="3" t="s">
        <v>661</v>
      </c>
      <c r="J17" s="3" t="s">
        <v>79</v>
      </c>
    </row>
    <row r="18" spans="1:10" ht="21.75" customHeight="1" x14ac:dyDescent="0.35">
      <c r="A18" s="5" t="s">
        <v>662</v>
      </c>
      <c r="B18" s="5" t="s">
        <v>71</v>
      </c>
      <c r="C18" s="5" t="s">
        <v>73</v>
      </c>
      <c r="D18" s="5" t="s">
        <v>74</v>
      </c>
      <c r="E18" s="5">
        <v>0.5</v>
      </c>
      <c r="F18" s="31"/>
      <c r="G18" s="30">
        <f t="shared" si="0"/>
        <v>0.5</v>
      </c>
      <c r="H18" s="5" t="s">
        <v>658</v>
      </c>
      <c r="I18" s="5" t="s">
        <v>663</v>
      </c>
      <c r="J18" s="5" t="s">
        <v>79</v>
      </c>
    </row>
    <row r="19" spans="1:10" ht="21.75" customHeight="1" x14ac:dyDescent="0.35">
      <c r="A19" s="3" t="s">
        <v>662</v>
      </c>
      <c r="B19" s="3" t="s">
        <v>71</v>
      </c>
      <c r="C19" s="3" t="s">
        <v>80</v>
      </c>
      <c r="D19" s="3" t="s">
        <v>81</v>
      </c>
      <c r="E19" s="3">
        <v>0.5</v>
      </c>
      <c r="F19" s="31"/>
      <c r="G19" s="30">
        <f t="shared" si="0"/>
        <v>0.5</v>
      </c>
      <c r="H19" s="3" t="s">
        <v>658</v>
      </c>
      <c r="I19" s="3" t="s">
        <v>663</v>
      </c>
      <c r="J19" s="3" t="s">
        <v>79</v>
      </c>
    </row>
    <row r="20" spans="1:10" ht="21.75" customHeight="1" x14ac:dyDescent="0.35">
      <c r="A20" s="5" t="s">
        <v>662</v>
      </c>
      <c r="B20" s="5" t="s">
        <v>85</v>
      </c>
      <c r="C20" s="5" t="s">
        <v>87</v>
      </c>
      <c r="D20" s="5" t="s">
        <v>88</v>
      </c>
      <c r="E20" s="5">
        <v>0.5</v>
      </c>
      <c r="F20" s="31"/>
      <c r="G20" s="30">
        <f t="shared" si="0"/>
        <v>0.5</v>
      </c>
      <c r="H20" s="5" t="s">
        <v>658</v>
      </c>
      <c r="I20" s="5" t="s">
        <v>663</v>
      </c>
      <c r="J20" s="5" t="s">
        <v>79</v>
      </c>
    </row>
    <row r="21" spans="1:10" ht="21.75" customHeight="1" x14ac:dyDescent="0.35">
      <c r="A21" s="3" t="s">
        <v>662</v>
      </c>
      <c r="B21" s="3" t="s">
        <v>85</v>
      </c>
      <c r="C21" s="3" t="s">
        <v>93</v>
      </c>
      <c r="D21" s="3" t="s">
        <v>94</v>
      </c>
      <c r="E21" s="3">
        <v>0.5</v>
      </c>
      <c r="F21" s="31"/>
      <c r="G21" s="30">
        <f t="shared" si="0"/>
        <v>0.5</v>
      </c>
      <c r="H21" s="3" t="s">
        <v>658</v>
      </c>
      <c r="I21" s="3" t="s">
        <v>663</v>
      </c>
      <c r="J21" s="3" t="s">
        <v>79</v>
      </c>
    </row>
    <row r="22" spans="1:10" ht="21.75" customHeight="1" x14ac:dyDescent="0.35">
      <c r="A22" s="5" t="s">
        <v>662</v>
      </c>
      <c r="B22" s="5" t="s">
        <v>100</v>
      </c>
      <c r="C22" s="5" t="s">
        <v>102</v>
      </c>
      <c r="D22" s="5" t="s">
        <v>103</v>
      </c>
      <c r="E22" s="5">
        <v>0.5</v>
      </c>
      <c r="F22" s="31"/>
      <c r="G22" s="30">
        <f t="shared" si="0"/>
        <v>0.5</v>
      </c>
      <c r="H22" s="5" t="s">
        <v>658</v>
      </c>
      <c r="I22" s="5" t="s">
        <v>663</v>
      </c>
      <c r="J22" s="5" t="s">
        <v>79</v>
      </c>
    </row>
    <row r="23" spans="1:10" ht="21.75" customHeight="1" x14ac:dyDescent="0.35">
      <c r="A23" s="3" t="s">
        <v>662</v>
      </c>
      <c r="B23" s="3" t="s">
        <v>100</v>
      </c>
      <c r="C23" s="3" t="s">
        <v>108</v>
      </c>
      <c r="D23" s="3" t="s">
        <v>664</v>
      </c>
      <c r="E23" s="3">
        <v>0.5</v>
      </c>
      <c r="F23" s="31"/>
      <c r="G23" s="30">
        <f t="shared" si="0"/>
        <v>0.5</v>
      </c>
      <c r="H23" s="3" t="s">
        <v>658</v>
      </c>
      <c r="I23" s="3" t="s">
        <v>663</v>
      </c>
      <c r="J23" s="3" t="s">
        <v>79</v>
      </c>
    </row>
    <row r="24" spans="1:10" ht="21.75" customHeight="1" x14ac:dyDescent="0.35">
      <c r="A24" s="5" t="s">
        <v>662</v>
      </c>
      <c r="B24" s="5" t="s">
        <v>114</v>
      </c>
      <c r="C24" s="5" t="s">
        <v>116</v>
      </c>
      <c r="D24" s="5" t="s">
        <v>665</v>
      </c>
      <c r="E24" s="5">
        <v>0.5</v>
      </c>
      <c r="F24" s="31"/>
      <c r="G24" s="30">
        <f t="shared" si="0"/>
        <v>0.5</v>
      </c>
      <c r="H24" s="5" t="s">
        <v>658</v>
      </c>
      <c r="I24" s="5" t="s">
        <v>663</v>
      </c>
      <c r="J24" s="5" t="s">
        <v>79</v>
      </c>
    </row>
    <row r="25" spans="1:10" ht="21.75" customHeight="1" x14ac:dyDescent="0.35">
      <c r="A25" s="3" t="s">
        <v>662</v>
      </c>
      <c r="B25" s="3" t="s">
        <v>114</v>
      </c>
      <c r="C25" s="3" t="s">
        <v>122</v>
      </c>
      <c r="D25" s="3" t="s">
        <v>123</v>
      </c>
      <c r="E25" s="3">
        <v>0.5</v>
      </c>
      <c r="F25" s="31"/>
      <c r="G25" s="30">
        <f t="shared" si="0"/>
        <v>0.5</v>
      </c>
      <c r="H25" s="3" t="s">
        <v>658</v>
      </c>
      <c r="I25" s="3" t="s">
        <v>663</v>
      </c>
      <c r="J25" s="3" t="s">
        <v>79</v>
      </c>
    </row>
    <row r="26" spans="1:10" ht="21.75" customHeight="1" x14ac:dyDescent="0.35">
      <c r="A26" s="5" t="s">
        <v>662</v>
      </c>
      <c r="B26" s="5" t="s">
        <v>129</v>
      </c>
      <c r="C26" s="5" t="s">
        <v>131</v>
      </c>
      <c r="D26" s="5" t="s">
        <v>132</v>
      </c>
      <c r="E26" s="5">
        <v>0.5</v>
      </c>
      <c r="F26" s="31"/>
      <c r="G26" s="30">
        <f t="shared" si="0"/>
        <v>0.5</v>
      </c>
      <c r="H26" s="5" t="s">
        <v>658</v>
      </c>
      <c r="I26" s="5" t="s">
        <v>663</v>
      </c>
      <c r="J26" s="5" t="s">
        <v>79</v>
      </c>
    </row>
    <row r="27" spans="1:10" ht="21.75" customHeight="1" x14ac:dyDescent="0.35">
      <c r="A27" s="3" t="s">
        <v>662</v>
      </c>
      <c r="B27" s="3" t="s">
        <v>129</v>
      </c>
      <c r="C27" s="3" t="s">
        <v>138</v>
      </c>
      <c r="D27" s="3" t="s">
        <v>139</v>
      </c>
      <c r="E27" s="3">
        <v>0.5</v>
      </c>
      <c r="F27" s="31"/>
      <c r="G27" s="30">
        <f t="shared" si="0"/>
        <v>0.5</v>
      </c>
      <c r="H27" s="3" t="s">
        <v>658</v>
      </c>
      <c r="I27" s="3" t="s">
        <v>663</v>
      </c>
      <c r="J27" s="3" t="s">
        <v>79</v>
      </c>
    </row>
    <row r="28" spans="1:10" ht="21.75" customHeight="1" x14ac:dyDescent="0.35">
      <c r="A28" s="5" t="s">
        <v>662</v>
      </c>
      <c r="B28" s="5" t="s">
        <v>144</v>
      </c>
      <c r="C28" s="5" t="s">
        <v>146</v>
      </c>
      <c r="D28" s="5" t="s">
        <v>147</v>
      </c>
      <c r="E28" s="5">
        <v>0.5</v>
      </c>
      <c r="F28" s="31"/>
      <c r="G28" s="30">
        <f t="shared" si="0"/>
        <v>0.5</v>
      </c>
      <c r="H28" s="5" t="s">
        <v>658</v>
      </c>
      <c r="I28" s="5" t="s">
        <v>663</v>
      </c>
      <c r="J28" s="5" t="s">
        <v>79</v>
      </c>
    </row>
    <row r="29" spans="1:10" ht="21.75" customHeight="1" x14ac:dyDescent="0.35">
      <c r="A29" s="3" t="s">
        <v>662</v>
      </c>
      <c r="B29" s="3" t="s">
        <v>144</v>
      </c>
      <c r="C29" s="3" t="s">
        <v>152</v>
      </c>
      <c r="D29" s="3" t="s">
        <v>666</v>
      </c>
      <c r="E29" s="3">
        <v>0.5</v>
      </c>
      <c r="F29" s="31"/>
      <c r="G29" s="30">
        <f t="shared" si="0"/>
        <v>0.5</v>
      </c>
      <c r="H29" s="3" t="s">
        <v>658</v>
      </c>
      <c r="I29" s="3" t="s">
        <v>663</v>
      </c>
      <c r="J29" s="3" t="s">
        <v>79</v>
      </c>
    </row>
    <row r="30" spans="1:10" ht="21.75" customHeight="1" x14ac:dyDescent="0.35">
      <c r="A30" s="5" t="s">
        <v>662</v>
      </c>
      <c r="B30" s="5" t="s">
        <v>160</v>
      </c>
      <c r="C30" s="5" t="s">
        <v>162</v>
      </c>
      <c r="D30" s="5" t="s">
        <v>163</v>
      </c>
      <c r="E30" s="5">
        <v>0.5</v>
      </c>
      <c r="F30" s="31"/>
      <c r="G30" s="30">
        <f t="shared" si="0"/>
        <v>0.5</v>
      </c>
      <c r="H30" s="5" t="s">
        <v>658</v>
      </c>
      <c r="I30" s="5" t="s">
        <v>663</v>
      </c>
      <c r="J30" s="5" t="s">
        <v>79</v>
      </c>
    </row>
    <row r="31" spans="1:10" ht="21.75" customHeight="1" x14ac:dyDescent="0.35">
      <c r="A31" s="3" t="s">
        <v>662</v>
      </c>
      <c r="B31" s="3" t="s">
        <v>160</v>
      </c>
      <c r="C31" s="3" t="s">
        <v>168</v>
      </c>
      <c r="D31" s="3" t="s">
        <v>169</v>
      </c>
      <c r="E31" s="3">
        <v>0.5</v>
      </c>
      <c r="F31" s="31"/>
      <c r="G31" s="30">
        <f t="shared" si="0"/>
        <v>0.5</v>
      </c>
      <c r="H31" s="3" t="s">
        <v>658</v>
      </c>
      <c r="I31" s="3" t="s">
        <v>663</v>
      </c>
      <c r="J31" s="3" t="s">
        <v>79</v>
      </c>
    </row>
    <row r="32" spans="1:10" ht="21.75" customHeight="1" x14ac:dyDescent="0.35">
      <c r="A32" s="5" t="s">
        <v>662</v>
      </c>
      <c r="B32" s="5" t="s">
        <v>173</v>
      </c>
      <c r="C32" s="5" t="s">
        <v>175</v>
      </c>
      <c r="D32" s="5" t="s">
        <v>176</v>
      </c>
      <c r="E32" s="5">
        <v>0.5</v>
      </c>
      <c r="F32" s="31"/>
      <c r="G32" s="30">
        <f t="shared" si="0"/>
        <v>0.5</v>
      </c>
      <c r="H32" s="5" t="s">
        <v>658</v>
      </c>
      <c r="I32" s="5" t="s">
        <v>663</v>
      </c>
      <c r="J32" s="5" t="s">
        <v>79</v>
      </c>
    </row>
    <row r="33" spans="1:10" ht="21.75" customHeight="1" x14ac:dyDescent="0.35">
      <c r="A33" s="3" t="s">
        <v>662</v>
      </c>
      <c r="B33" s="3" t="s">
        <v>173</v>
      </c>
      <c r="C33" s="3" t="s">
        <v>181</v>
      </c>
      <c r="D33" s="3" t="s">
        <v>182</v>
      </c>
      <c r="E33" s="3">
        <v>0.5</v>
      </c>
      <c r="F33" s="31"/>
      <c r="G33" s="30">
        <f t="shared" si="0"/>
        <v>0.5</v>
      </c>
      <c r="H33" s="3" t="s">
        <v>658</v>
      </c>
      <c r="I33" s="3" t="s">
        <v>663</v>
      </c>
      <c r="J33" s="3" t="s">
        <v>79</v>
      </c>
    </row>
    <row r="34" spans="1:10" ht="21.75" customHeight="1" x14ac:dyDescent="0.35">
      <c r="A34" s="5" t="s">
        <v>662</v>
      </c>
      <c r="B34" s="5" t="s">
        <v>188</v>
      </c>
      <c r="C34" s="5" t="s">
        <v>190</v>
      </c>
      <c r="D34" s="5" t="s">
        <v>191</v>
      </c>
      <c r="E34" s="5">
        <v>0.5</v>
      </c>
      <c r="F34" s="31"/>
      <c r="G34" s="30">
        <f t="shared" si="0"/>
        <v>0.5</v>
      </c>
      <c r="H34" s="5" t="s">
        <v>658</v>
      </c>
      <c r="I34" s="5" t="s">
        <v>663</v>
      </c>
      <c r="J34" s="5" t="s">
        <v>79</v>
      </c>
    </row>
    <row r="35" spans="1:10" ht="21.75" customHeight="1" x14ac:dyDescent="0.35">
      <c r="A35" s="3" t="s">
        <v>662</v>
      </c>
      <c r="B35" s="3" t="s">
        <v>188</v>
      </c>
      <c r="C35" s="3" t="s">
        <v>196</v>
      </c>
      <c r="D35" s="3" t="s">
        <v>197</v>
      </c>
      <c r="E35" s="3">
        <v>0.5</v>
      </c>
      <c r="F35" s="31"/>
      <c r="G35" s="30">
        <f t="shared" si="0"/>
        <v>0.5</v>
      </c>
      <c r="H35" s="3" t="s">
        <v>658</v>
      </c>
      <c r="I35" s="3" t="s">
        <v>663</v>
      </c>
      <c r="J35" s="3" t="s">
        <v>79</v>
      </c>
    </row>
    <row r="36" spans="1:10" ht="21.75" customHeight="1" x14ac:dyDescent="0.35">
      <c r="A36" s="5" t="s">
        <v>662</v>
      </c>
      <c r="B36" s="5" t="s">
        <v>202</v>
      </c>
      <c r="C36" s="5" t="s">
        <v>204</v>
      </c>
      <c r="D36" s="5" t="s">
        <v>205</v>
      </c>
      <c r="E36" s="5">
        <v>0.5</v>
      </c>
      <c r="F36" s="31"/>
      <c r="G36" s="30">
        <f t="shared" si="0"/>
        <v>0.5</v>
      </c>
      <c r="H36" s="5" t="s">
        <v>658</v>
      </c>
      <c r="I36" s="5" t="s">
        <v>663</v>
      </c>
      <c r="J36" s="5" t="s">
        <v>79</v>
      </c>
    </row>
    <row r="37" spans="1:10" ht="21.75" customHeight="1" x14ac:dyDescent="0.35">
      <c r="A37" s="3" t="s">
        <v>662</v>
      </c>
      <c r="B37" s="3" t="s">
        <v>202</v>
      </c>
      <c r="C37" s="3" t="s">
        <v>210</v>
      </c>
      <c r="D37" s="3" t="s">
        <v>211</v>
      </c>
      <c r="E37" s="3">
        <v>0.5</v>
      </c>
      <c r="F37" s="31"/>
      <c r="G37" s="30">
        <f t="shared" si="0"/>
        <v>0.5</v>
      </c>
      <c r="H37" s="3" t="s">
        <v>658</v>
      </c>
      <c r="I37" s="3" t="s">
        <v>663</v>
      </c>
      <c r="J37" s="3" t="s">
        <v>79</v>
      </c>
    </row>
    <row r="39" spans="1:10" ht="15" customHeight="1" x14ac:dyDescent="0.35">
      <c r="A39" s="40" t="s">
        <v>667</v>
      </c>
      <c r="B39" s="40"/>
      <c r="C39" s="40"/>
      <c r="D39" s="40"/>
      <c r="E39" s="40"/>
      <c r="F39" s="40"/>
      <c r="G39" s="40"/>
      <c r="H39" s="40"/>
      <c r="I39" s="40"/>
      <c r="J39" s="40"/>
    </row>
  </sheetData>
  <autoFilter ref="A2:J2" xr:uid="{00000000-0009-0000-0000-000006000000}"/>
  <mergeCells count="2">
    <mergeCell ref="A1:J1"/>
    <mergeCell ref="A39:J39"/>
  </mergeCells>
  <dataValidations count="1">
    <dataValidation type="decimal" allowBlank="1" sqref="F3:F37" xr:uid="{00000000-0002-0000-0600-000000000000}">
      <formula1>0</formula1>
      <formula2>1</formula2>
    </dataValidation>
  </dataValidations>
  <pageMargins left="0.75" right="0.75" top="1" bottom="1" header="0.511811023622047" footer="0.511811023622047"/>
  <pageSetup paperSize="9"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1:Q62"/>
  <sheetViews>
    <sheetView showGridLines="0" zoomScale="77" zoomScaleNormal="100" workbookViewId="0">
      <pane ySplit="2" topLeftCell="A3" activePane="bottomLeft" state="frozen"/>
      <selection pane="bottomLeft" sqref="A1:Q1"/>
    </sheetView>
  </sheetViews>
  <sheetFormatPr baseColWidth="10" defaultColWidth="8.6328125" defaultRowHeight="14.5" x14ac:dyDescent="0.35"/>
  <cols>
    <col min="1" max="1" width="12" customWidth="1"/>
    <col min="2" max="4" width="8" customWidth="1"/>
    <col min="5" max="5" width="30" customWidth="1"/>
    <col min="6" max="6" width="45" customWidth="1"/>
    <col min="7" max="7" width="60" customWidth="1"/>
    <col min="8" max="8" width="14" customWidth="1"/>
    <col min="9" max="9" width="20" customWidth="1"/>
    <col min="10" max="10" width="30" customWidth="1"/>
    <col min="11" max="13" width="25" customWidth="1"/>
    <col min="14" max="14" width="20" customWidth="1"/>
    <col min="15" max="15" width="28" customWidth="1"/>
    <col min="16" max="16" width="30" customWidth="1"/>
    <col min="17" max="17" width="14" customWidth="1"/>
  </cols>
  <sheetData>
    <row r="1" spans="1:17" ht="21.75" customHeight="1" x14ac:dyDescent="0.35">
      <c r="A1" s="38" t="s">
        <v>668</v>
      </c>
      <c r="B1" s="38"/>
      <c r="C1" s="38"/>
      <c r="D1" s="38"/>
      <c r="E1" s="38"/>
      <c r="F1" s="38"/>
      <c r="G1" s="38"/>
      <c r="H1" s="38"/>
      <c r="I1" s="38"/>
      <c r="J1" s="38"/>
      <c r="K1" s="38"/>
      <c r="L1" s="38"/>
      <c r="M1" s="38"/>
      <c r="N1" s="38"/>
      <c r="O1" s="38"/>
      <c r="P1" s="38"/>
      <c r="Q1" s="38"/>
    </row>
    <row r="2" spans="1:17" ht="42.75" customHeight="1" x14ac:dyDescent="0.35">
      <c r="A2" s="1" t="s">
        <v>669</v>
      </c>
      <c r="B2" s="1" t="s">
        <v>57</v>
      </c>
      <c r="C2" s="1" t="s">
        <v>59</v>
      </c>
      <c r="D2" s="1" t="s">
        <v>61</v>
      </c>
      <c r="E2" s="1" t="s">
        <v>670</v>
      </c>
      <c r="F2" s="1" t="s">
        <v>671</v>
      </c>
      <c r="G2" s="1" t="s">
        <v>672</v>
      </c>
      <c r="H2" s="1" t="s">
        <v>673</v>
      </c>
      <c r="I2" s="1" t="s">
        <v>674</v>
      </c>
      <c r="J2" s="1" t="s">
        <v>675</v>
      </c>
      <c r="K2" s="1" t="s">
        <v>676</v>
      </c>
      <c r="L2" s="1" t="s">
        <v>677</v>
      </c>
      <c r="M2" s="1" t="s">
        <v>678</v>
      </c>
      <c r="N2" s="1" t="s">
        <v>679</v>
      </c>
      <c r="O2" s="1" t="s">
        <v>67</v>
      </c>
      <c r="P2" s="1" t="s">
        <v>680</v>
      </c>
      <c r="Q2" s="1" t="s">
        <v>68</v>
      </c>
    </row>
    <row r="3" spans="1:17" ht="45" customHeight="1" x14ac:dyDescent="0.35">
      <c r="A3" s="24" t="s">
        <v>681</v>
      </c>
      <c r="B3" s="24" t="s">
        <v>69</v>
      </c>
      <c r="C3" s="24" t="s">
        <v>71</v>
      </c>
      <c r="D3" s="24" t="s">
        <v>73</v>
      </c>
      <c r="E3" s="3" t="s">
        <v>682</v>
      </c>
      <c r="F3" s="3" t="s">
        <v>683</v>
      </c>
      <c r="G3" s="3" t="s">
        <v>684</v>
      </c>
      <c r="H3" s="3" t="s">
        <v>685</v>
      </c>
      <c r="I3" s="3" t="s">
        <v>686</v>
      </c>
      <c r="J3" s="3" t="s">
        <v>687</v>
      </c>
      <c r="K3" s="3" t="s">
        <v>688</v>
      </c>
      <c r="L3" s="3" t="s">
        <v>689</v>
      </c>
      <c r="M3" s="3" t="s">
        <v>690</v>
      </c>
      <c r="N3" s="3" t="s">
        <v>691</v>
      </c>
      <c r="O3" s="3" t="s">
        <v>692</v>
      </c>
      <c r="P3" s="3" t="s">
        <v>693</v>
      </c>
      <c r="Q3" s="3" t="s">
        <v>79</v>
      </c>
    </row>
    <row r="4" spans="1:17" ht="45" customHeight="1" x14ac:dyDescent="0.35">
      <c r="A4" s="24" t="s">
        <v>694</v>
      </c>
      <c r="B4" s="24" t="s">
        <v>69</v>
      </c>
      <c r="C4" s="24" t="s">
        <v>71</v>
      </c>
      <c r="D4" s="24" t="s">
        <v>73</v>
      </c>
      <c r="E4" s="5" t="s">
        <v>695</v>
      </c>
      <c r="F4" s="5" t="s">
        <v>696</v>
      </c>
      <c r="G4" s="5" t="s">
        <v>697</v>
      </c>
      <c r="H4" s="5" t="s">
        <v>698</v>
      </c>
      <c r="I4" s="5" t="s">
        <v>699</v>
      </c>
      <c r="J4" s="5" t="s">
        <v>700</v>
      </c>
      <c r="K4" s="5" t="s">
        <v>701</v>
      </c>
      <c r="L4" s="5" t="s">
        <v>689</v>
      </c>
      <c r="M4" s="5" t="s">
        <v>702</v>
      </c>
      <c r="N4" s="5" t="s">
        <v>703</v>
      </c>
      <c r="O4" s="5" t="s">
        <v>143</v>
      </c>
      <c r="P4" s="5" t="s">
        <v>704</v>
      </c>
      <c r="Q4" s="5" t="s">
        <v>79</v>
      </c>
    </row>
    <row r="5" spans="1:17" ht="45" customHeight="1" x14ac:dyDescent="0.35">
      <c r="A5" s="24" t="s">
        <v>705</v>
      </c>
      <c r="B5" s="24" t="s">
        <v>69</v>
      </c>
      <c r="C5" s="24" t="s">
        <v>71</v>
      </c>
      <c r="D5" s="24" t="s">
        <v>73</v>
      </c>
      <c r="E5" s="3" t="s">
        <v>706</v>
      </c>
      <c r="F5" s="3" t="s">
        <v>707</v>
      </c>
      <c r="G5" s="3" t="s">
        <v>708</v>
      </c>
      <c r="H5" s="3" t="s">
        <v>698</v>
      </c>
      <c r="I5" s="3" t="s">
        <v>709</v>
      </c>
      <c r="J5" s="3" t="s">
        <v>710</v>
      </c>
      <c r="K5" s="3" t="s">
        <v>711</v>
      </c>
      <c r="L5" s="3" t="s">
        <v>689</v>
      </c>
      <c r="M5" s="3" t="s">
        <v>712</v>
      </c>
      <c r="N5" s="3" t="s">
        <v>713</v>
      </c>
      <c r="O5" s="3" t="s">
        <v>714</v>
      </c>
      <c r="P5" s="3" t="s">
        <v>715</v>
      </c>
      <c r="Q5" s="3" t="s">
        <v>79</v>
      </c>
    </row>
    <row r="6" spans="1:17" ht="45" customHeight="1" x14ac:dyDescent="0.35">
      <c r="A6" s="24" t="s">
        <v>716</v>
      </c>
      <c r="B6" s="24" t="s">
        <v>69</v>
      </c>
      <c r="C6" s="24" t="s">
        <v>71</v>
      </c>
      <c r="D6" s="24" t="s">
        <v>80</v>
      </c>
      <c r="E6" s="5" t="s">
        <v>717</v>
      </c>
      <c r="F6" s="5" t="s">
        <v>718</v>
      </c>
      <c r="G6" s="5" t="s">
        <v>719</v>
      </c>
      <c r="H6" s="5" t="s">
        <v>685</v>
      </c>
      <c r="I6" s="5" t="s">
        <v>720</v>
      </c>
      <c r="J6" s="5" t="s">
        <v>721</v>
      </c>
      <c r="K6" s="5" t="s">
        <v>722</v>
      </c>
      <c r="L6" s="5" t="s">
        <v>689</v>
      </c>
      <c r="M6" s="5" t="s">
        <v>723</v>
      </c>
      <c r="N6" s="5" t="s">
        <v>724</v>
      </c>
      <c r="O6" s="5" t="s">
        <v>725</v>
      </c>
      <c r="P6" s="5" t="s">
        <v>726</v>
      </c>
      <c r="Q6" s="5" t="s">
        <v>79</v>
      </c>
    </row>
    <row r="7" spans="1:17" ht="45" customHeight="1" x14ac:dyDescent="0.35">
      <c r="A7" s="24" t="s">
        <v>727</v>
      </c>
      <c r="B7" s="24" t="s">
        <v>69</v>
      </c>
      <c r="C7" s="24" t="s">
        <v>71</v>
      </c>
      <c r="D7" s="24" t="s">
        <v>80</v>
      </c>
      <c r="E7" s="3" t="s">
        <v>728</v>
      </c>
      <c r="F7" s="3" t="s">
        <v>729</v>
      </c>
      <c r="G7" s="3" t="s">
        <v>730</v>
      </c>
      <c r="H7" s="3" t="s">
        <v>685</v>
      </c>
      <c r="I7" s="3" t="s">
        <v>731</v>
      </c>
      <c r="J7" s="3" t="s">
        <v>732</v>
      </c>
      <c r="K7" s="3" t="s">
        <v>722</v>
      </c>
      <c r="L7" s="3" t="s">
        <v>689</v>
      </c>
      <c r="M7" s="3" t="s">
        <v>733</v>
      </c>
      <c r="N7" s="3" t="s">
        <v>734</v>
      </c>
      <c r="O7" s="3" t="s">
        <v>735</v>
      </c>
      <c r="P7" s="3" t="s">
        <v>736</v>
      </c>
      <c r="Q7" s="3" t="s">
        <v>79</v>
      </c>
    </row>
    <row r="8" spans="1:17" ht="45" customHeight="1" x14ac:dyDescent="0.35">
      <c r="A8" s="24" t="s">
        <v>737</v>
      </c>
      <c r="B8" s="24" t="s">
        <v>69</v>
      </c>
      <c r="C8" s="24" t="s">
        <v>71</v>
      </c>
      <c r="D8" s="24" t="s">
        <v>80</v>
      </c>
      <c r="E8" s="5" t="s">
        <v>738</v>
      </c>
      <c r="F8" s="5" t="s">
        <v>739</v>
      </c>
      <c r="G8" s="5" t="s">
        <v>740</v>
      </c>
      <c r="H8" s="5" t="s">
        <v>698</v>
      </c>
      <c r="I8" s="5" t="s">
        <v>741</v>
      </c>
      <c r="J8" s="5" t="s">
        <v>742</v>
      </c>
      <c r="K8" s="5" t="s">
        <v>743</v>
      </c>
      <c r="L8" s="5" t="s">
        <v>689</v>
      </c>
      <c r="M8" s="5" t="s">
        <v>744</v>
      </c>
      <c r="N8" s="5" t="s">
        <v>745</v>
      </c>
      <c r="O8" s="5" t="s">
        <v>143</v>
      </c>
      <c r="P8" s="5" t="s">
        <v>746</v>
      </c>
      <c r="Q8" s="5" t="s">
        <v>79</v>
      </c>
    </row>
    <row r="9" spans="1:17" ht="45" customHeight="1" x14ac:dyDescent="0.35">
      <c r="A9" s="24" t="s">
        <v>747</v>
      </c>
      <c r="B9" s="24" t="s">
        <v>69</v>
      </c>
      <c r="C9" s="24" t="s">
        <v>85</v>
      </c>
      <c r="D9" s="24" t="s">
        <v>87</v>
      </c>
      <c r="E9" s="3" t="s">
        <v>748</v>
      </c>
      <c r="F9" s="3" t="s">
        <v>749</v>
      </c>
      <c r="G9" s="3" t="s">
        <v>750</v>
      </c>
      <c r="H9" s="3" t="s">
        <v>698</v>
      </c>
      <c r="I9" s="3" t="s">
        <v>751</v>
      </c>
      <c r="J9" s="3" t="s">
        <v>752</v>
      </c>
      <c r="K9" s="3" t="s">
        <v>753</v>
      </c>
      <c r="L9" s="3" t="s">
        <v>689</v>
      </c>
      <c r="M9" s="3" t="s">
        <v>754</v>
      </c>
      <c r="N9" s="3" t="s">
        <v>755</v>
      </c>
      <c r="O9" s="3" t="s">
        <v>756</v>
      </c>
      <c r="P9" s="3" t="s">
        <v>757</v>
      </c>
      <c r="Q9" s="3" t="s">
        <v>79</v>
      </c>
    </row>
    <row r="10" spans="1:17" ht="45" customHeight="1" x14ac:dyDescent="0.35">
      <c r="A10" s="24" t="s">
        <v>758</v>
      </c>
      <c r="B10" s="24" t="s">
        <v>69</v>
      </c>
      <c r="C10" s="24" t="s">
        <v>85</v>
      </c>
      <c r="D10" s="24" t="s">
        <v>87</v>
      </c>
      <c r="E10" s="5" t="s">
        <v>759</v>
      </c>
      <c r="F10" s="5" t="s">
        <v>760</v>
      </c>
      <c r="G10" s="5" t="s">
        <v>761</v>
      </c>
      <c r="H10" s="5" t="s">
        <v>698</v>
      </c>
      <c r="I10" s="5" t="s">
        <v>762</v>
      </c>
      <c r="J10" s="5" t="s">
        <v>763</v>
      </c>
      <c r="K10" s="5" t="s">
        <v>764</v>
      </c>
      <c r="L10" s="5" t="s">
        <v>689</v>
      </c>
      <c r="M10" s="5" t="s">
        <v>765</v>
      </c>
      <c r="N10" s="5" t="s">
        <v>766</v>
      </c>
      <c r="O10" s="5" t="s">
        <v>767</v>
      </c>
      <c r="P10" s="5" t="s">
        <v>768</v>
      </c>
      <c r="Q10" s="5" t="s">
        <v>79</v>
      </c>
    </row>
    <row r="11" spans="1:17" ht="45" customHeight="1" x14ac:dyDescent="0.35">
      <c r="A11" s="24" t="s">
        <v>769</v>
      </c>
      <c r="B11" s="24" t="s">
        <v>69</v>
      </c>
      <c r="C11" s="24" t="s">
        <v>85</v>
      </c>
      <c r="D11" s="24" t="s">
        <v>87</v>
      </c>
      <c r="E11" s="3" t="s">
        <v>770</v>
      </c>
      <c r="F11" s="3" t="s">
        <v>771</v>
      </c>
      <c r="G11" s="3" t="s">
        <v>772</v>
      </c>
      <c r="H11" s="3" t="s">
        <v>698</v>
      </c>
      <c r="I11" s="3" t="s">
        <v>741</v>
      </c>
      <c r="J11" s="3" t="s">
        <v>773</v>
      </c>
      <c r="K11" s="3" t="s">
        <v>774</v>
      </c>
      <c r="L11" s="3" t="s">
        <v>689</v>
      </c>
      <c r="M11" s="3" t="s">
        <v>775</v>
      </c>
      <c r="N11" s="3" t="s">
        <v>776</v>
      </c>
      <c r="O11" s="3" t="s">
        <v>143</v>
      </c>
      <c r="P11" s="3" t="s">
        <v>777</v>
      </c>
      <c r="Q11" s="3" t="s">
        <v>79</v>
      </c>
    </row>
    <row r="12" spans="1:17" ht="45" customHeight="1" x14ac:dyDescent="0.35">
      <c r="A12" s="24" t="s">
        <v>778</v>
      </c>
      <c r="B12" s="24" t="s">
        <v>69</v>
      </c>
      <c r="C12" s="24" t="s">
        <v>85</v>
      </c>
      <c r="D12" s="24" t="s">
        <v>93</v>
      </c>
      <c r="E12" s="5" t="s">
        <v>779</v>
      </c>
      <c r="F12" s="5" t="s">
        <v>780</v>
      </c>
      <c r="G12" s="5" t="s">
        <v>781</v>
      </c>
      <c r="H12" s="5" t="s">
        <v>698</v>
      </c>
      <c r="I12" s="5" t="s">
        <v>782</v>
      </c>
      <c r="J12" s="5" t="s">
        <v>783</v>
      </c>
      <c r="K12" s="5" t="s">
        <v>784</v>
      </c>
      <c r="L12" s="5" t="s">
        <v>689</v>
      </c>
      <c r="M12" s="5" t="s">
        <v>785</v>
      </c>
      <c r="N12" s="5" t="s">
        <v>786</v>
      </c>
      <c r="O12" s="5" t="s">
        <v>787</v>
      </c>
      <c r="P12" s="5" t="s">
        <v>788</v>
      </c>
      <c r="Q12" s="5" t="s">
        <v>79</v>
      </c>
    </row>
    <row r="13" spans="1:17" ht="45" customHeight="1" x14ac:dyDescent="0.35">
      <c r="A13" s="24" t="s">
        <v>789</v>
      </c>
      <c r="B13" s="24" t="s">
        <v>69</v>
      </c>
      <c r="C13" s="24" t="s">
        <v>85</v>
      </c>
      <c r="D13" s="24" t="s">
        <v>93</v>
      </c>
      <c r="E13" s="3" t="s">
        <v>790</v>
      </c>
      <c r="F13" s="3" t="s">
        <v>791</v>
      </c>
      <c r="G13" s="3" t="s">
        <v>792</v>
      </c>
      <c r="H13" s="3" t="s">
        <v>698</v>
      </c>
      <c r="I13" s="3" t="s">
        <v>793</v>
      </c>
      <c r="J13" s="3" t="s">
        <v>794</v>
      </c>
      <c r="K13" s="3" t="s">
        <v>795</v>
      </c>
      <c r="L13" s="3" t="s">
        <v>689</v>
      </c>
      <c r="M13" s="3" t="s">
        <v>796</v>
      </c>
      <c r="N13" s="3" t="s">
        <v>797</v>
      </c>
      <c r="O13" s="3" t="s">
        <v>798</v>
      </c>
      <c r="P13" s="3" t="s">
        <v>799</v>
      </c>
      <c r="Q13" s="3" t="s">
        <v>79</v>
      </c>
    </row>
    <row r="14" spans="1:17" ht="45" customHeight="1" x14ac:dyDescent="0.35">
      <c r="A14" s="24" t="s">
        <v>800</v>
      </c>
      <c r="B14" s="24" t="s">
        <v>69</v>
      </c>
      <c r="C14" s="24" t="s">
        <v>85</v>
      </c>
      <c r="D14" s="24" t="s">
        <v>93</v>
      </c>
      <c r="E14" s="5" t="s">
        <v>801</v>
      </c>
      <c r="F14" s="5" t="s">
        <v>802</v>
      </c>
      <c r="G14" s="5" t="s">
        <v>803</v>
      </c>
      <c r="H14" s="5" t="s">
        <v>685</v>
      </c>
      <c r="I14" s="5" t="s">
        <v>804</v>
      </c>
      <c r="J14" s="5" t="s">
        <v>805</v>
      </c>
      <c r="K14" s="5" t="s">
        <v>806</v>
      </c>
      <c r="L14" s="5" t="s">
        <v>689</v>
      </c>
      <c r="M14" s="5" t="s">
        <v>807</v>
      </c>
      <c r="N14" s="5" t="s">
        <v>808</v>
      </c>
      <c r="O14" s="5" t="s">
        <v>143</v>
      </c>
      <c r="P14" s="5" t="s">
        <v>809</v>
      </c>
      <c r="Q14" s="5" t="s">
        <v>79</v>
      </c>
    </row>
    <row r="15" spans="1:17" ht="45" customHeight="1" x14ac:dyDescent="0.35">
      <c r="A15" s="32" t="s">
        <v>810</v>
      </c>
      <c r="B15" s="32" t="s">
        <v>98</v>
      </c>
      <c r="C15" s="32" t="s">
        <v>100</v>
      </c>
      <c r="D15" s="32" t="s">
        <v>102</v>
      </c>
      <c r="E15" s="3" t="s">
        <v>811</v>
      </c>
      <c r="F15" s="3" t="s">
        <v>812</v>
      </c>
      <c r="G15" s="3" t="s">
        <v>813</v>
      </c>
      <c r="H15" s="3" t="s">
        <v>685</v>
      </c>
      <c r="I15" s="3" t="s">
        <v>686</v>
      </c>
      <c r="J15" s="3" t="s">
        <v>814</v>
      </c>
      <c r="K15" s="3" t="s">
        <v>815</v>
      </c>
      <c r="L15" s="3" t="s">
        <v>689</v>
      </c>
      <c r="M15" s="3" t="s">
        <v>816</v>
      </c>
      <c r="N15" s="3" t="s">
        <v>817</v>
      </c>
      <c r="O15" s="3" t="s">
        <v>341</v>
      </c>
      <c r="P15" s="3" t="s">
        <v>818</v>
      </c>
      <c r="Q15" s="3" t="s">
        <v>79</v>
      </c>
    </row>
    <row r="16" spans="1:17" ht="45" customHeight="1" x14ac:dyDescent="0.35">
      <c r="A16" s="32" t="s">
        <v>819</v>
      </c>
      <c r="B16" s="32" t="s">
        <v>98</v>
      </c>
      <c r="C16" s="32" t="s">
        <v>100</v>
      </c>
      <c r="D16" s="32" t="s">
        <v>102</v>
      </c>
      <c r="E16" s="5" t="s">
        <v>820</v>
      </c>
      <c r="F16" s="5" t="s">
        <v>821</v>
      </c>
      <c r="G16" s="5" t="s">
        <v>822</v>
      </c>
      <c r="H16" s="5" t="s">
        <v>698</v>
      </c>
      <c r="I16" s="5" t="s">
        <v>741</v>
      </c>
      <c r="J16" s="5" t="s">
        <v>823</v>
      </c>
      <c r="K16" s="5" t="s">
        <v>824</v>
      </c>
      <c r="L16" s="5" t="s">
        <v>689</v>
      </c>
      <c r="M16" s="5" t="s">
        <v>825</v>
      </c>
      <c r="N16" s="5" t="s">
        <v>826</v>
      </c>
      <c r="O16" s="5" t="s">
        <v>827</v>
      </c>
      <c r="P16" s="5" t="s">
        <v>828</v>
      </c>
      <c r="Q16" s="5" t="s">
        <v>79</v>
      </c>
    </row>
    <row r="17" spans="1:17" ht="45" customHeight="1" x14ac:dyDescent="0.35">
      <c r="A17" s="32" t="s">
        <v>829</v>
      </c>
      <c r="B17" s="32" t="s">
        <v>98</v>
      </c>
      <c r="C17" s="32" t="s">
        <v>100</v>
      </c>
      <c r="D17" s="32" t="s">
        <v>102</v>
      </c>
      <c r="E17" s="3" t="s">
        <v>830</v>
      </c>
      <c r="F17" s="3" t="s">
        <v>831</v>
      </c>
      <c r="G17" s="3" t="s">
        <v>832</v>
      </c>
      <c r="H17" s="3" t="s">
        <v>698</v>
      </c>
      <c r="I17" s="3" t="s">
        <v>833</v>
      </c>
      <c r="J17" s="3" t="s">
        <v>834</v>
      </c>
      <c r="K17" s="3" t="s">
        <v>835</v>
      </c>
      <c r="L17" s="3" t="s">
        <v>689</v>
      </c>
      <c r="M17" s="3" t="s">
        <v>836</v>
      </c>
      <c r="N17" s="3" t="s">
        <v>837</v>
      </c>
      <c r="O17" s="3" t="s">
        <v>838</v>
      </c>
      <c r="P17" s="3" t="s">
        <v>839</v>
      </c>
      <c r="Q17" s="3" t="s">
        <v>79</v>
      </c>
    </row>
    <row r="18" spans="1:17" ht="45" customHeight="1" x14ac:dyDescent="0.35">
      <c r="A18" s="32" t="s">
        <v>840</v>
      </c>
      <c r="B18" s="32" t="s">
        <v>98</v>
      </c>
      <c r="C18" s="32" t="s">
        <v>100</v>
      </c>
      <c r="D18" s="32" t="s">
        <v>108</v>
      </c>
      <c r="E18" s="5" t="s">
        <v>841</v>
      </c>
      <c r="F18" s="5" t="s">
        <v>842</v>
      </c>
      <c r="G18" s="5" t="s">
        <v>843</v>
      </c>
      <c r="H18" s="5" t="s">
        <v>698</v>
      </c>
      <c r="I18" s="5" t="s">
        <v>844</v>
      </c>
      <c r="J18" s="5" t="s">
        <v>845</v>
      </c>
      <c r="K18" s="5" t="s">
        <v>846</v>
      </c>
      <c r="L18" s="5" t="s">
        <v>689</v>
      </c>
      <c r="M18" s="5" t="s">
        <v>847</v>
      </c>
      <c r="N18" s="5" t="s">
        <v>848</v>
      </c>
      <c r="O18" s="5" t="s">
        <v>113</v>
      </c>
      <c r="P18" s="5" t="s">
        <v>849</v>
      </c>
      <c r="Q18" s="5" t="s">
        <v>79</v>
      </c>
    </row>
    <row r="19" spans="1:17" ht="45" customHeight="1" x14ac:dyDescent="0.35">
      <c r="A19" s="32" t="s">
        <v>850</v>
      </c>
      <c r="B19" s="32" t="s">
        <v>98</v>
      </c>
      <c r="C19" s="32" t="s">
        <v>100</v>
      </c>
      <c r="D19" s="32" t="s">
        <v>108</v>
      </c>
      <c r="E19" s="3" t="s">
        <v>851</v>
      </c>
      <c r="F19" s="3" t="s">
        <v>852</v>
      </c>
      <c r="G19" s="3" t="s">
        <v>853</v>
      </c>
      <c r="H19" s="3" t="s">
        <v>698</v>
      </c>
      <c r="I19" s="3" t="s">
        <v>854</v>
      </c>
      <c r="J19" s="3" t="s">
        <v>855</v>
      </c>
      <c r="K19" s="3" t="s">
        <v>856</v>
      </c>
      <c r="L19" s="3" t="s">
        <v>689</v>
      </c>
      <c r="M19" s="3" t="s">
        <v>857</v>
      </c>
      <c r="N19" s="3" t="s">
        <v>858</v>
      </c>
      <c r="O19" s="3" t="s">
        <v>143</v>
      </c>
      <c r="P19" s="3" t="s">
        <v>859</v>
      </c>
      <c r="Q19" s="3" t="s">
        <v>79</v>
      </c>
    </row>
    <row r="20" spans="1:17" ht="45" customHeight="1" x14ac:dyDescent="0.35">
      <c r="A20" s="32" t="s">
        <v>860</v>
      </c>
      <c r="B20" s="32" t="s">
        <v>98</v>
      </c>
      <c r="C20" s="32" t="s">
        <v>100</v>
      </c>
      <c r="D20" s="32" t="s">
        <v>108</v>
      </c>
      <c r="E20" s="5" t="s">
        <v>861</v>
      </c>
      <c r="F20" s="5" t="s">
        <v>862</v>
      </c>
      <c r="G20" s="5" t="s">
        <v>863</v>
      </c>
      <c r="H20" s="5" t="s">
        <v>698</v>
      </c>
      <c r="I20" s="5" t="s">
        <v>864</v>
      </c>
      <c r="J20" s="5" t="s">
        <v>865</v>
      </c>
      <c r="K20" s="5" t="s">
        <v>866</v>
      </c>
      <c r="L20" s="5" t="s">
        <v>689</v>
      </c>
      <c r="M20" s="5" t="s">
        <v>867</v>
      </c>
      <c r="N20" s="5" t="s">
        <v>868</v>
      </c>
      <c r="O20" s="5" t="s">
        <v>143</v>
      </c>
      <c r="P20" s="5" t="s">
        <v>869</v>
      </c>
      <c r="Q20" s="5" t="s">
        <v>79</v>
      </c>
    </row>
    <row r="21" spans="1:17" ht="45" customHeight="1" x14ac:dyDescent="0.35">
      <c r="A21" s="32" t="s">
        <v>870</v>
      </c>
      <c r="B21" s="32" t="s">
        <v>98</v>
      </c>
      <c r="C21" s="32" t="s">
        <v>114</v>
      </c>
      <c r="D21" s="32" t="s">
        <v>116</v>
      </c>
      <c r="E21" s="3" t="s">
        <v>871</v>
      </c>
      <c r="F21" s="3" t="s">
        <v>872</v>
      </c>
      <c r="G21" s="3" t="s">
        <v>873</v>
      </c>
      <c r="H21" s="3" t="s">
        <v>685</v>
      </c>
      <c r="I21" s="3" t="s">
        <v>686</v>
      </c>
      <c r="J21" s="3" t="s">
        <v>874</v>
      </c>
      <c r="K21" s="3" t="s">
        <v>815</v>
      </c>
      <c r="L21" s="3" t="s">
        <v>689</v>
      </c>
      <c r="M21" s="3" t="s">
        <v>875</v>
      </c>
      <c r="N21" s="3" t="s">
        <v>876</v>
      </c>
      <c r="O21" s="3" t="s">
        <v>877</v>
      </c>
      <c r="P21" s="3" t="s">
        <v>878</v>
      </c>
      <c r="Q21" s="3" t="s">
        <v>79</v>
      </c>
    </row>
    <row r="22" spans="1:17" ht="45" customHeight="1" x14ac:dyDescent="0.35">
      <c r="A22" s="32" t="s">
        <v>879</v>
      </c>
      <c r="B22" s="32" t="s">
        <v>98</v>
      </c>
      <c r="C22" s="32" t="s">
        <v>114</v>
      </c>
      <c r="D22" s="32" t="s">
        <v>116</v>
      </c>
      <c r="E22" s="5" t="s">
        <v>880</v>
      </c>
      <c r="F22" s="5" t="s">
        <v>881</v>
      </c>
      <c r="G22" s="5" t="s">
        <v>882</v>
      </c>
      <c r="H22" s="5" t="s">
        <v>698</v>
      </c>
      <c r="I22" s="5" t="s">
        <v>883</v>
      </c>
      <c r="J22" s="5" t="s">
        <v>884</v>
      </c>
      <c r="K22" s="5" t="s">
        <v>885</v>
      </c>
      <c r="L22" s="5" t="s">
        <v>689</v>
      </c>
      <c r="M22" s="5" t="s">
        <v>886</v>
      </c>
      <c r="N22" s="5" t="s">
        <v>887</v>
      </c>
      <c r="O22" s="5" t="s">
        <v>143</v>
      </c>
      <c r="P22" s="5" t="s">
        <v>888</v>
      </c>
      <c r="Q22" s="5" t="s">
        <v>79</v>
      </c>
    </row>
    <row r="23" spans="1:17" ht="45" customHeight="1" x14ac:dyDescent="0.35">
      <c r="A23" s="32" t="s">
        <v>889</v>
      </c>
      <c r="B23" s="32" t="s">
        <v>98</v>
      </c>
      <c r="C23" s="32" t="s">
        <v>114</v>
      </c>
      <c r="D23" s="32" t="s">
        <v>116</v>
      </c>
      <c r="E23" s="3" t="s">
        <v>890</v>
      </c>
      <c r="F23" s="3" t="s">
        <v>891</v>
      </c>
      <c r="G23" s="3" t="s">
        <v>892</v>
      </c>
      <c r="H23" s="3" t="s">
        <v>685</v>
      </c>
      <c r="I23" s="3" t="s">
        <v>893</v>
      </c>
      <c r="J23" s="3" t="s">
        <v>894</v>
      </c>
      <c r="K23" s="3" t="s">
        <v>895</v>
      </c>
      <c r="L23" s="3" t="s">
        <v>689</v>
      </c>
      <c r="M23" s="3" t="s">
        <v>896</v>
      </c>
      <c r="N23" s="3" t="s">
        <v>897</v>
      </c>
      <c r="O23" s="3" t="s">
        <v>838</v>
      </c>
      <c r="P23" s="3" t="s">
        <v>898</v>
      </c>
      <c r="Q23" s="3" t="s">
        <v>79</v>
      </c>
    </row>
    <row r="24" spans="1:17" ht="45" customHeight="1" x14ac:dyDescent="0.35">
      <c r="A24" s="32" t="s">
        <v>899</v>
      </c>
      <c r="B24" s="32" t="s">
        <v>98</v>
      </c>
      <c r="C24" s="32" t="s">
        <v>114</v>
      </c>
      <c r="D24" s="32" t="s">
        <v>122</v>
      </c>
      <c r="E24" s="5" t="s">
        <v>900</v>
      </c>
      <c r="F24" s="5" t="s">
        <v>901</v>
      </c>
      <c r="G24" s="5" t="s">
        <v>902</v>
      </c>
      <c r="H24" s="5" t="s">
        <v>685</v>
      </c>
      <c r="I24" s="5" t="s">
        <v>903</v>
      </c>
      <c r="J24" s="5" t="s">
        <v>904</v>
      </c>
      <c r="K24" s="5" t="s">
        <v>905</v>
      </c>
      <c r="L24" s="5" t="s">
        <v>689</v>
      </c>
      <c r="M24" s="5" t="s">
        <v>906</v>
      </c>
      <c r="N24" s="5" t="s">
        <v>907</v>
      </c>
      <c r="O24" s="5" t="s">
        <v>908</v>
      </c>
      <c r="P24" s="5" t="s">
        <v>909</v>
      </c>
      <c r="Q24" s="5" t="s">
        <v>79</v>
      </c>
    </row>
    <row r="25" spans="1:17" ht="45" customHeight="1" x14ac:dyDescent="0.35">
      <c r="A25" s="32" t="s">
        <v>910</v>
      </c>
      <c r="B25" s="32" t="s">
        <v>98</v>
      </c>
      <c r="C25" s="32" t="s">
        <v>114</v>
      </c>
      <c r="D25" s="32" t="s">
        <v>122</v>
      </c>
      <c r="E25" s="3" t="s">
        <v>911</v>
      </c>
      <c r="F25" s="3" t="s">
        <v>912</v>
      </c>
      <c r="G25" s="3" t="s">
        <v>913</v>
      </c>
      <c r="H25" s="3" t="s">
        <v>698</v>
      </c>
      <c r="I25" s="3" t="s">
        <v>914</v>
      </c>
      <c r="J25" s="3" t="s">
        <v>915</v>
      </c>
      <c r="K25" s="3" t="s">
        <v>916</v>
      </c>
      <c r="L25" s="3" t="s">
        <v>689</v>
      </c>
      <c r="M25" s="3" t="s">
        <v>917</v>
      </c>
      <c r="N25" s="3" t="s">
        <v>918</v>
      </c>
      <c r="O25" s="3" t="s">
        <v>919</v>
      </c>
      <c r="P25" s="3" t="s">
        <v>920</v>
      </c>
      <c r="Q25" s="3" t="s">
        <v>79</v>
      </c>
    </row>
    <row r="26" spans="1:17" ht="45" customHeight="1" x14ac:dyDescent="0.35">
      <c r="A26" s="32" t="s">
        <v>921</v>
      </c>
      <c r="B26" s="32" t="s">
        <v>98</v>
      </c>
      <c r="C26" s="32" t="s">
        <v>114</v>
      </c>
      <c r="D26" s="32" t="s">
        <v>122</v>
      </c>
      <c r="E26" s="5" t="s">
        <v>922</v>
      </c>
      <c r="F26" s="5" t="s">
        <v>923</v>
      </c>
      <c r="G26" s="5" t="s">
        <v>924</v>
      </c>
      <c r="H26" s="5" t="s">
        <v>698</v>
      </c>
      <c r="I26" s="5" t="s">
        <v>925</v>
      </c>
      <c r="J26" s="5" t="s">
        <v>926</v>
      </c>
      <c r="K26" s="5" t="s">
        <v>905</v>
      </c>
      <c r="L26" s="5" t="s">
        <v>689</v>
      </c>
      <c r="M26" s="5" t="s">
        <v>927</v>
      </c>
      <c r="N26" s="5" t="s">
        <v>928</v>
      </c>
      <c r="O26" s="5" t="s">
        <v>929</v>
      </c>
      <c r="P26" s="5" t="s">
        <v>930</v>
      </c>
      <c r="Q26" s="5" t="s">
        <v>79</v>
      </c>
    </row>
    <row r="27" spans="1:17" ht="45" customHeight="1" x14ac:dyDescent="0.35">
      <c r="A27" s="29" t="s">
        <v>931</v>
      </c>
      <c r="B27" s="29" t="s">
        <v>127</v>
      </c>
      <c r="C27" s="29" t="s">
        <v>129</v>
      </c>
      <c r="D27" s="29" t="s">
        <v>131</v>
      </c>
      <c r="E27" s="3" t="s">
        <v>932</v>
      </c>
      <c r="F27" s="3" t="s">
        <v>933</v>
      </c>
      <c r="G27" s="3" t="s">
        <v>934</v>
      </c>
      <c r="H27" s="3" t="s">
        <v>685</v>
      </c>
      <c r="I27" s="3" t="s">
        <v>935</v>
      </c>
      <c r="J27" s="3" t="s">
        <v>936</v>
      </c>
      <c r="K27" s="3" t="s">
        <v>937</v>
      </c>
      <c r="L27" s="3" t="s">
        <v>689</v>
      </c>
      <c r="M27" s="3" t="s">
        <v>938</v>
      </c>
      <c r="N27" s="3" t="s">
        <v>939</v>
      </c>
      <c r="O27" s="3" t="s">
        <v>137</v>
      </c>
      <c r="P27" s="3" t="s">
        <v>940</v>
      </c>
      <c r="Q27" s="3" t="s">
        <v>79</v>
      </c>
    </row>
    <row r="28" spans="1:17" ht="45" customHeight="1" x14ac:dyDescent="0.35">
      <c r="A28" s="29" t="s">
        <v>941</v>
      </c>
      <c r="B28" s="29" t="s">
        <v>127</v>
      </c>
      <c r="C28" s="29" t="s">
        <v>129</v>
      </c>
      <c r="D28" s="29" t="s">
        <v>131</v>
      </c>
      <c r="E28" s="5" t="s">
        <v>942</v>
      </c>
      <c r="F28" s="5" t="s">
        <v>943</v>
      </c>
      <c r="G28" s="5" t="s">
        <v>944</v>
      </c>
      <c r="H28" s="5" t="s">
        <v>685</v>
      </c>
      <c r="I28" s="5" t="s">
        <v>945</v>
      </c>
      <c r="J28" s="5" t="s">
        <v>946</v>
      </c>
      <c r="K28" s="5" t="s">
        <v>947</v>
      </c>
      <c r="L28" s="5" t="s">
        <v>689</v>
      </c>
      <c r="M28" s="5" t="s">
        <v>948</v>
      </c>
      <c r="N28" s="5" t="s">
        <v>949</v>
      </c>
      <c r="O28" s="5" t="s">
        <v>143</v>
      </c>
      <c r="P28" s="5" t="s">
        <v>950</v>
      </c>
      <c r="Q28" s="5" t="s">
        <v>79</v>
      </c>
    </row>
    <row r="29" spans="1:17" ht="45" customHeight="1" x14ac:dyDescent="0.35">
      <c r="A29" s="29" t="s">
        <v>951</v>
      </c>
      <c r="B29" s="29" t="s">
        <v>127</v>
      </c>
      <c r="C29" s="29" t="s">
        <v>129</v>
      </c>
      <c r="D29" s="29" t="s">
        <v>131</v>
      </c>
      <c r="E29" s="3" t="s">
        <v>952</v>
      </c>
      <c r="F29" s="3" t="s">
        <v>953</v>
      </c>
      <c r="G29" s="3" t="s">
        <v>954</v>
      </c>
      <c r="H29" s="3" t="s">
        <v>698</v>
      </c>
      <c r="I29" s="3" t="s">
        <v>955</v>
      </c>
      <c r="J29" s="3" t="s">
        <v>956</v>
      </c>
      <c r="K29" s="3" t="s">
        <v>957</v>
      </c>
      <c r="L29" s="3" t="s">
        <v>689</v>
      </c>
      <c r="M29" s="3" t="s">
        <v>958</v>
      </c>
      <c r="N29" s="3" t="s">
        <v>959</v>
      </c>
      <c r="O29" s="3" t="s">
        <v>143</v>
      </c>
      <c r="P29" s="3" t="s">
        <v>960</v>
      </c>
      <c r="Q29" s="3" t="s">
        <v>79</v>
      </c>
    </row>
    <row r="30" spans="1:17" ht="45" customHeight="1" x14ac:dyDescent="0.35">
      <c r="A30" s="29" t="s">
        <v>961</v>
      </c>
      <c r="B30" s="29" t="s">
        <v>127</v>
      </c>
      <c r="C30" s="29" t="s">
        <v>129</v>
      </c>
      <c r="D30" s="29" t="s">
        <v>138</v>
      </c>
      <c r="E30" s="5" t="s">
        <v>962</v>
      </c>
      <c r="F30" s="5" t="s">
        <v>963</v>
      </c>
      <c r="G30" s="5" t="s">
        <v>964</v>
      </c>
      <c r="H30" s="5" t="s">
        <v>698</v>
      </c>
      <c r="I30" s="5" t="s">
        <v>741</v>
      </c>
      <c r="J30" s="5" t="s">
        <v>965</v>
      </c>
      <c r="K30" s="5" t="s">
        <v>966</v>
      </c>
      <c r="L30" s="5" t="s">
        <v>689</v>
      </c>
      <c r="M30" s="5" t="s">
        <v>967</v>
      </c>
      <c r="N30" s="5" t="s">
        <v>968</v>
      </c>
      <c r="O30" s="5" t="s">
        <v>143</v>
      </c>
      <c r="P30" s="5" t="s">
        <v>969</v>
      </c>
      <c r="Q30" s="5" t="s">
        <v>79</v>
      </c>
    </row>
    <row r="31" spans="1:17" ht="45" customHeight="1" x14ac:dyDescent="0.35">
      <c r="A31" s="29" t="s">
        <v>970</v>
      </c>
      <c r="B31" s="29" t="s">
        <v>127</v>
      </c>
      <c r="C31" s="29" t="s">
        <v>129</v>
      </c>
      <c r="D31" s="29" t="s">
        <v>138</v>
      </c>
      <c r="E31" s="3" t="s">
        <v>971</v>
      </c>
      <c r="F31" s="3" t="s">
        <v>972</v>
      </c>
      <c r="G31" s="3" t="s">
        <v>973</v>
      </c>
      <c r="H31" s="3" t="s">
        <v>698</v>
      </c>
      <c r="I31" s="3" t="s">
        <v>741</v>
      </c>
      <c r="J31" s="3" t="s">
        <v>974</v>
      </c>
      <c r="K31" s="3" t="s">
        <v>966</v>
      </c>
      <c r="L31" s="3" t="s">
        <v>689</v>
      </c>
      <c r="M31" s="3" t="s">
        <v>975</v>
      </c>
      <c r="N31" s="3" t="s">
        <v>976</v>
      </c>
      <c r="O31" s="3" t="s">
        <v>143</v>
      </c>
      <c r="P31" s="3" t="s">
        <v>977</v>
      </c>
      <c r="Q31" s="3" t="s">
        <v>79</v>
      </c>
    </row>
    <row r="32" spans="1:17" ht="45" customHeight="1" x14ac:dyDescent="0.35">
      <c r="A32" s="29" t="s">
        <v>978</v>
      </c>
      <c r="B32" s="29" t="s">
        <v>127</v>
      </c>
      <c r="C32" s="29" t="s">
        <v>129</v>
      </c>
      <c r="D32" s="29" t="s">
        <v>138</v>
      </c>
      <c r="E32" s="5" t="s">
        <v>979</v>
      </c>
      <c r="F32" s="5" t="s">
        <v>980</v>
      </c>
      <c r="G32" s="5" t="s">
        <v>981</v>
      </c>
      <c r="H32" s="5" t="s">
        <v>685</v>
      </c>
      <c r="I32" s="5" t="s">
        <v>982</v>
      </c>
      <c r="J32" s="5" t="s">
        <v>983</v>
      </c>
      <c r="K32" s="5" t="s">
        <v>984</v>
      </c>
      <c r="L32" s="5" t="s">
        <v>689</v>
      </c>
      <c r="M32" s="5" t="s">
        <v>985</v>
      </c>
      <c r="N32" s="5" t="s">
        <v>986</v>
      </c>
      <c r="O32" s="5" t="s">
        <v>143</v>
      </c>
      <c r="P32" s="5" t="s">
        <v>987</v>
      </c>
      <c r="Q32" s="5" t="s">
        <v>79</v>
      </c>
    </row>
    <row r="33" spans="1:17" ht="45" customHeight="1" x14ac:dyDescent="0.35">
      <c r="A33" s="29" t="s">
        <v>988</v>
      </c>
      <c r="B33" s="29" t="s">
        <v>127</v>
      </c>
      <c r="C33" s="29" t="s">
        <v>144</v>
      </c>
      <c r="D33" s="29" t="s">
        <v>146</v>
      </c>
      <c r="E33" s="3" t="s">
        <v>989</v>
      </c>
      <c r="F33" s="3" t="s">
        <v>990</v>
      </c>
      <c r="G33" s="3" t="s">
        <v>991</v>
      </c>
      <c r="H33" s="3" t="s">
        <v>698</v>
      </c>
      <c r="I33" s="3" t="s">
        <v>992</v>
      </c>
      <c r="J33" s="3" t="s">
        <v>993</v>
      </c>
      <c r="K33" s="3" t="s">
        <v>994</v>
      </c>
      <c r="L33" s="3" t="s">
        <v>689</v>
      </c>
      <c r="M33" s="3" t="s">
        <v>995</v>
      </c>
      <c r="N33" s="3" t="s">
        <v>996</v>
      </c>
      <c r="O33" s="3" t="s">
        <v>997</v>
      </c>
      <c r="P33" s="3" t="s">
        <v>998</v>
      </c>
      <c r="Q33" s="3" t="s">
        <v>79</v>
      </c>
    </row>
    <row r="34" spans="1:17" ht="45" customHeight="1" x14ac:dyDescent="0.35">
      <c r="A34" s="29" t="s">
        <v>999</v>
      </c>
      <c r="B34" s="29" t="s">
        <v>127</v>
      </c>
      <c r="C34" s="29" t="s">
        <v>144</v>
      </c>
      <c r="D34" s="29" t="s">
        <v>146</v>
      </c>
      <c r="E34" s="5" t="s">
        <v>1000</v>
      </c>
      <c r="F34" s="5" t="s">
        <v>1001</v>
      </c>
      <c r="G34" s="5" t="s">
        <v>1002</v>
      </c>
      <c r="H34" s="5" t="s">
        <v>698</v>
      </c>
      <c r="I34" s="5" t="s">
        <v>1003</v>
      </c>
      <c r="J34" s="5" t="s">
        <v>1004</v>
      </c>
      <c r="K34" s="5" t="s">
        <v>966</v>
      </c>
      <c r="L34" s="5" t="s">
        <v>689</v>
      </c>
      <c r="M34" s="5" t="s">
        <v>1005</v>
      </c>
      <c r="N34" s="5" t="s">
        <v>1006</v>
      </c>
      <c r="O34" s="5" t="s">
        <v>143</v>
      </c>
      <c r="P34" s="5" t="s">
        <v>1007</v>
      </c>
      <c r="Q34" s="5" t="s">
        <v>79</v>
      </c>
    </row>
    <row r="35" spans="1:17" ht="45" customHeight="1" x14ac:dyDescent="0.35">
      <c r="A35" s="29" t="s">
        <v>1008</v>
      </c>
      <c r="B35" s="29" t="s">
        <v>127</v>
      </c>
      <c r="C35" s="29" t="s">
        <v>144</v>
      </c>
      <c r="D35" s="29" t="s">
        <v>146</v>
      </c>
      <c r="E35" s="3" t="s">
        <v>1009</v>
      </c>
      <c r="F35" s="3" t="s">
        <v>1010</v>
      </c>
      <c r="G35" s="3" t="s">
        <v>1011</v>
      </c>
      <c r="H35" s="3" t="s">
        <v>698</v>
      </c>
      <c r="I35" s="3" t="s">
        <v>1012</v>
      </c>
      <c r="J35" s="3" t="s">
        <v>1013</v>
      </c>
      <c r="K35" s="3" t="s">
        <v>1014</v>
      </c>
      <c r="L35" s="3" t="s">
        <v>689</v>
      </c>
      <c r="M35" s="3" t="s">
        <v>1015</v>
      </c>
      <c r="N35" s="3" t="s">
        <v>1016</v>
      </c>
      <c r="O35" s="3" t="s">
        <v>143</v>
      </c>
      <c r="P35" s="3" t="s">
        <v>1017</v>
      </c>
      <c r="Q35" s="3" t="s">
        <v>79</v>
      </c>
    </row>
    <row r="36" spans="1:17" ht="45" customHeight="1" x14ac:dyDescent="0.35">
      <c r="A36" s="29" t="s">
        <v>1018</v>
      </c>
      <c r="B36" s="29" t="s">
        <v>127</v>
      </c>
      <c r="C36" s="29" t="s">
        <v>144</v>
      </c>
      <c r="D36" s="29" t="s">
        <v>152</v>
      </c>
      <c r="E36" s="5" t="s">
        <v>1019</v>
      </c>
      <c r="F36" s="5" t="s">
        <v>1020</v>
      </c>
      <c r="G36" s="5" t="s">
        <v>1021</v>
      </c>
      <c r="H36" s="5" t="s">
        <v>698</v>
      </c>
      <c r="I36" s="5" t="s">
        <v>1022</v>
      </c>
      <c r="J36" s="5" t="s">
        <v>1023</v>
      </c>
      <c r="K36" s="5" t="s">
        <v>966</v>
      </c>
      <c r="L36" s="5" t="s">
        <v>689</v>
      </c>
      <c r="M36" s="5" t="s">
        <v>1024</v>
      </c>
      <c r="N36" s="5" t="s">
        <v>1025</v>
      </c>
      <c r="O36" s="5" t="s">
        <v>157</v>
      </c>
      <c r="P36" s="5" t="s">
        <v>1026</v>
      </c>
      <c r="Q36" s="5" t="s">
        <v>79</v>
      </c>
    </row>
    <row r="37" spans="1:17" ht="45" customHeight="1" x14ac:dyDescent="0.35">
      <c r="A37" s="29" t="s">
        <v>1027</v>
      </c>
      <c r="B37" s="29" t="s">
        <v>127</v>
      </c>
      <c r="C37" s="29" t="s">
        <v>144</v>
      </c>
      <c r="D37" s="29" t="s">
        <v>152</v>
      </c>
      <c r="E37" s="3" t="s">
        <v>1028</v>
      </c>
      <c r="F37" s="3" t="s">
        <v>1029</v>
      </c>
      <c r="G37" s="3" t="s">
        <v>1030</v>
      </c>
      <c r="H37" s="3" t="s">
        <v>698</v>
      </c>
      <c r="I37" s="3" t="s">
        <v>1031</v>
      </c>
      <c r="J37" s="3" t="s">
        <v>1032</v>
      </c>
      <c r="K37" s="3" t="s">
        <v>1033</v>
      </c>
      <c r="L37" s="3" t="s">
        <v>689</v>
      </c>
      <c r="M37" s="3" t="s">
        <v>1034</v>
      </c>
      <c r="N37" s="3" t="s">
        <v>1035</v>
      </c>
      <c r="O37" s="3" t="s">
        <v>143</v>
      </c>
      <c r="P37" s="3" t="s">
        <v>1036</v>
      </c>
      <c r="Q37" s="3" t="s">
        <v>79</v>
      </c>
    </row>
    <row r="38" spans="1:17" ht="45" customHeight="1" x14ac:dyDescent="0.35">
      <c r="A38" s="29" t="s">
        <v>1037</v>
      </c>
      <c r="B38" s="29" t="s">
        <v>127</v>
      </c>
      <c r="C38" s="29" t="s">
        <v>144</v>
      </c>
      <c r="D38" s="29" t="s">
        <v>152</v>
      </c>
      <c r="E38" s="5" t="s">
        <v>1038</v>
      </c>
      <c r="F38" s="5" t="s">
        <v>1039</v>
      </c>
      <c r="G38" s="5" t="s">
        <v>1040</v>
      </c>
      <c r="H38" s="5" t="s">
        <v>685</v>
      </c>
      <c r="I38" s="5" t="s">
        <v>1041</v>
      </c>
      <c r="J38" s="5" t="s">
        <v>1042</v>
      </c>
      <c r="K38" s="5" t="s">
        <v>1043</v>
      </c>
      <c r="L38" s="5" t="s">
        <v>1044</v>
      </c>
      <c r="M38" s="5" t="s">
        <v>1045</v>
      </c>
      <c r="N38" s="5" t="s">
        <v>1046</v>
      </c>
      <c r="O38" s="5" t="s">
        <v>143</v>
      </c>
      <c r="P38" s="5" t="s">
        <v>1047</v>
      </c>
      <c r="Q38" s="5" t="s">
        <v>79</v>
      </c>
    </row>
    <row r="39" spans="1:17" ht="45" customHeight="1" x14ac:dyDescent="0.35">
      <c r="A39" s="33" t="s">
        <v>1048</v>
      </c>
      <c r="B39" s="33" t="s">
        <v>158</v>
      </c>
      <c r="C39" s="33" t="s">
        <v>160</v>
      </c>
      <c r="D39" s="33" t="s">
        <v>162</v>
      </c>
      <c r="E39" s="3" t="s">
        <v>1049</v>
      </c>
      <c r="F39" s="3" t="s">
        <v>1050</v>
      </c>
      <c r="G39" s="3" t="s">
        <v>1051</v>
      </c>
      <c r="H39" s="3" t="s">
        <v>698</v>
      </c>
      <c r="I39" s="3" t="s">
        <v>1052</v>
      </c>
      <c r="J39" s="3" t="s">
        <v>1053</v>
      </c>
      <c r="K39" s="3" t="s">
        <v>1054</v>
      </c>
      <c r="L39" s="3" t="s">
        <v>689</v>
      </c>
      <c r="M39" s="3" t="s">
        <v>1055</v>
      </c>
      <c r="N39" s="3" t="s">
        <v>1056</v>
      </c>
      <c r="O39" s="3" t="s">
        <v>1057</v>
      </c>
      <c r="P39" s="3" t="s">
        <v>1058</v>
      </c>
      <c r="Q39" s="3" t="s">
        <v>79</v>
      </c>
    </row>
    <row r="40" spans="1:17" ht="45" customHeight="1" x14ac:dyDescent="0.35">
      <c r="A40" s="33" t="s">
        <v>1059</v>
      </c>
      <c r="B40" s="33" t="s">
        <v>158</v>
      </c>
      <c r="C40" s="33" t="s">
        <v>160</v>
      </c>
      <c r="D40" s="33" t="s">
        <v>162</v>
      </c>
      <c r="E40" s="5" t="s">
        <v>1060</v>
      </c>
      <c r="F40" s="5" t="s">
        <v>1061</v>
      </c>
      <c r="G40" s="5" t="s">
        <v>1062</v>
      </c>
      <c r="H40" s="5" t="s">
        <v>698</v>
      </c>
      <c r="I40" s="5" t="s">
        <v>1063</v>
      </c>
      <c r="J40" s="5" t="s">
        <v>1053</v>
      </c>
      <c r="K40" s="5" t="s">
        <v>1064</v>
      </c>
      <c r="L40" s="5" t="s">
        <v>689</v>
      </c>
      <c r="M40" s="5" t="s">
        <v>1065</v>
      </c>
      <c r="N40" s="5" t="s">
        <v>1066</v>
      </c>
      <c r="O40" s="5" t="s">
        <v>1067</v>
      </c>
      <c r="P40" s="5" t="s">
        <v>1068</v>
      </c>
      <c r="Q40" s="5" t="s">
        <v>79</v>
      </c>
    </row>
    <row r="41" spans="1:17" ht="45" customHeight="1" x14ac:dyDescent="0.35">
      <c r="A41" s="33" t="s">
        <v>1069</v>
      </c>
      <c r="B41" s="33" t="s">
        <v>158</v>
      </c>
      <c r="C41" s="33" t="s">
        <v>160</v>
      </c>
      <c r="D41" s="33" t="s">
        <v>162</v>
      </c>
      <c r="E41" s="3" t="s">
        <v>1070</v>
      </c>
      <c r="F41" s="3" t="s">
        <v>1071</v>
      </c>
      <c r="G41" s="3" t="s">
        <v>1072</v>
      </c>
      <c r="H41" s="3" t="s">
        <v>698</v>
      </c>
      <c r="I41" s="3" t="s">
        <v>1073</v>
      </c>
      <c r="J41" s="3" t="s">
        <v>1074</v>
      </c>
      <c r="K41" s="3" t="s">
        <v>1075</v>
      </c>
      <c r="L41" s="3" t="s">
        <v>689</v>
      </c>
      <c r="M41" s="3" t="s">
        <v>1076</v>
      </c>
      <c r="N41" s="3" t="s">
        <v>1077</v>
      </c>
      <c r="O41" s="3" t="s">
        <v>1078</v>
      </c>
      <c r="P41" s="3" t="s">
        <v>1079</v>
      </c>
      <c r="Q41" s="3" t="s">
        <v>79</v>
      </c>
    </row>
    <row r="42" spans="1:17" ht="45" customHeight="1" x14ac:dyDescent="0.35">
      <c r="A42" s="33" t="s">
        <v>1080</v>
      </c>
      <c r="B42" s="33" t="s">
        <v>158</v>
      </c>
      <c r="C42" s="33" t="s">
        <v>160</v>
      </c>
      <c r="D42" s="33" t="s">
        <v>168</v>
      </c>
      <c r="E42" s="5" t="s">
        <v>1081</v>
      </c>
      <c r="F42" s="5" t="s">
        <v>1082</v>
      </c>
      <c r="G42" s="5" t="s">
        <v>1083</v>
      </c>
      <c r="H42" s="5" t="s">
        <v>698</v>
      </c>
      <c r="I42" s="5" t="s">
        <v>762</v>
      </c>
      <c r="J42" s="5" t="s">
        <v>1084</v>
      </c>
      <c r="K42" s="5" t="s">
        <v>1075</v>
      </c>
      <c r="L42" s="5" t="s">
        <v>689</v>
      </c>
      <c r="M42" s="5" t="s">
        <v>1085</v>
      </c>
      <c r="N42" s="5" t="s">
        <v>1086</v>
      </c>
      <c r="O42" s="5" t="s">
        <v>1087</v>
      </c>
      <c r="P42" s="5" t="s">
        <v>1088</v>
      </c>
      <c r="Q42" s="5" t="s">
        <v>79</v>
      </c>
    </row>
    <row r="43" spans="1:17" ht="45" customHeight="1" x14ac:dyDescent="0.35">
      <c r="A43" s="33" t="s">
        <v>1089</v>
      </c>
      <c r="B43" s="33" t="s">
        <v>158</v>
      </c>
      <c r="C43" s="33" t="s">
        <v>160</v>
      </c>
      <c r="D43" s="33" t="s">
        <v>168</v>
      </c>
      <c r="E43" s="3" t="s">
        <v>1090</v>
      </c>
      <c r="F43" s="3" t="s">
        <v>1091</v>
      </c>
      <c r="G43" s="3" t="s">
        <v>1092</v>
      </c>
      <c r="H43" s="3" t="s">
        <v>698</v>
      </c>
      <c r="I43" s="3" t="s">
        <v>1093</v>
      </c>
      <c r="J43" s="3" t="s">
        <v>1094</v>
      </c>
      <c r="K43" s="3" t="s">
        <v>1095</v>
      </c>
      <c r="L43" s="3" t="s">
        <v>689</v>
      </c>
      <c r="M43" s="3" t="s">
        <v>1096</v>
      </c>
      <c r="N43" s="3" t="s">
        <v>1097</v>
      </c>
      <c r="O43" s="3" t="s">
        <v>1098</v>
      </c>
      <c r="P43" s="3" t="s">
        <v>1099</v>
      </c>
      <c r="Q43" s="3" t="s">
        <v>79</v>
      </c>
    </row>
    <row r="44" spans="1:17" ht="45" customHeight="1" x14ac:dyDescent="0.35">
      <c r="A44" s="33" t="s">
        <v>1100</v>
      </c>
      <c r="B44" s="33" t="s">
        <v>158</v>
      </c>
      <c r="C44" s="33" t="s">
        <v>160</v>
      </c>
      <c r="D44" s="33" t="s">
        <v>168</v>
      </c>
      <c r="E44" s="5" t="s">
        <v>1101</v>
      </c>
      <c r="F44" s="5" t="s">
        <v>1102</v>
      </c>
      <c r="G44" s="5" t="s">
        <v>1103</v>
      </c>
      <c r="H44" s="5" t="s">
        <v>698</v>
      </c>
      <c r="I44" s="5" t="s">
        <v>1104</v>
      </c>
      <c r="J44" s="5" t="s">
        <v>1084</v>
      </c>
      <c r="K44" s="5" t="s">
        <v>1105</v>
      </c>
      <c r="L44" s="5" t="s">
        <v>689</v>
      </c>
      <c r="M44" s="5" t="s">
        <v>1106</v>
      </c>
      <c r="N44" s="5" t="s">
        <v>1107</v>
      </c>
      <c r="O44" s="5" t="s">
        <v>143</v>
      </c>
      <c r="P44" s="5" t="s">
        <v>1108</v>
      </c>
      <c r="Q44" s="5" t="s">
        <v>79</v>
      </c>
    </row>
    <row r="45" spans="1:17" ht="45" customHeight="1" x14ac:dyDescent="0.35">
      <c r="A45" s="33" t="s">
        <v>1109</v>
      </c>
      <c r="B45" s="33" t="s">
        <v>158</v>
      </c>
      <c r="C45" s="33" t="s">
        <v>173</v>
      </c>
      <c r="D45" s="33" t="s">
        <v>175</v>
      </c>
      <c r="E45" s="3" t="s">
        <v>1110</v>
      </c>
      <c r="F45" s="3" t="s">
        <v>1111</v>
      </c>
      <c r="G45" s="3" t="s">
        <v>1112</v>
      </c>
      <c r="H45" s="3" t="s">
        <v>698</v>
      </c>
      <c r="I45" s="3" t="s">
        <v>1113</v>
      </c>
      <c r="J45" s="3" t="s">
        <v>1114</v>
      </c>
      <c r="K45" s="3" t="s">
        <v>1115</v>
      </c>
      <c r="L45" s="3" t="s">
        <v>689</v>
      </c>
      <c r="M45" s="3" t="s">
        <v>1116</v>
      </c>
      <c r="N45" s="3" t="s">
        <v>1117</v>
      </c>
      <c r="O45" s="3" t="s">
        <v>143</v>
      </c>
      <c r="P45" s="3" t="s">
        <v>1118</v>
      </c>
      <c r="Q45" s="3" t="s">
        <v>79</v>
      </c>
    </row>
    <row r="46" spans="1:17" ht="45" customHeight="1" x14ac:dyDescent="0.35">
      <c r="A46" s="33" t="s">
        <v>1119</v>
      </c>
      <c r="B46" s="33" t="s">
        <v>158</v>
      </c>
      <c r="C46" s="33" t="s">
        <v>173</v>
      </c>
      <c r="D46" s="33" t="s">
        <v>175</v>
      </c>
      <c r="E46" s="5" t="s">
        <v>1120</v>
      </c>
      <c r="F46" s="5" t="s">
        <v>1121</v>
      </c>
      <c r="G46" s="5" t="s">
        <v>1122</v>
      </c>
      <c r="H46" s="5" t="s">
        <v>698</v>
      </c>
      <c r="I46" s="5" t="s">
        <v>1123</v>
      </c>
      <c r="J46" s="5" t="s">
        <v>1124</v>
      </c>
      <c r="K46" s="5" t="s">
        <v>1125</v>
      </c>
      <c r="L46" s="5" t="s">
        <v>689</v>
      </c>
      <c r="M46" s="5" t="s">
        <v>1126</v>
      </c>
      <c r="N46" s="5" t="s">
        <v>1127</v>
      </c>
      <c r="O46" s="5" t="s">
        <v>143</v>
      </c>
      <c r="P46" s="5" t="s">
        <v>1128</v>
      </c>
      <c r="Q46" s="5" t="s">
        <v>79</v>
      </c>
    </row>
    <row r="47" spans="1:17" ht="45" customHeight="1" x14ac:dyDescent="0.35">
      <c r="A47" s="33" t="s">
        <v>1129</v>
      </c>
      <c r="B47" s="33" t="s">
        <v>158</v>
      </c>
      <c r="C47" s="33" t="s">
        <v>173</v>
      </c>
      <c r="D47" s="33" t="s">
        <v>175</v>
      </c>
      <c r="E47" s="3" t="s">
        <v>1130</v>
      </c>
      <c r="F47" s="3" t="s">
        <v>1131</v>
      </c>
      <c r="G47" s="3" t="s">
        <v>1132</v>
      </c>
      <c r="H47" s="3" t="s">
        <v>698</v>
      </c>
      <c r="I47" s="3" t="s">
        <v>1133</v>
      </c>
      <c r="J47" s="3" t="s">
        <v>1114</v>
      </c>
      <c r="K47" s="3" t="s">
        <v>1134</v>
      </c>
      <c r="L47" s="3" t="s">
        <v>689</v>
      </c>
      <c r="M47" s="3" t="s">
        <v>1135</v>
      </c>
      <c r="N47" s="3" t="s">
        <v>1136</v>
      </c>
      <c r="O47" s="3" t="s">
        <v>143</v>
      </c>
      <c r="P47" s="3" t="s">
        <v>1137</v>
      </c>
      <c r="Q47" s="3" t="s">
        <v>79</v>
      </c>
    </row>
    <row r="48" spans="1:17" ht="45" customHeight="1" x14ac:dyDescent="0.35">
      <c r="A48" s="33" t="s">
        <v>1138</v>
      </c>
      <c r="B48" s="33" t="s">
        <v>158</v>
      </c>
      <c r="C48" s="33" t="s">
        <v>173</v>
      </c>
      <c r="D48" s="33" t="s">
        <v>181</v>
      </c>
      <c r="E48" s="5" t="s">
        <v>1139</v>
      </c>
      <c r="F48" s="5" t="s">
        <v>1140</v>
      </c>
      <c r="G48" s="5" t="s">
        <v>1141</v>
      </c>
      <c r="H48" s="5" t="s">
        <v>698</v>
      </c>
      <c r="I48" s="5" t="s">
        <v>1142</v>
      </c>
      <c r="J48" s="5" t="s">
        <v>1143</v>
      </c>
      <c r="K48" s="5" t="s">
        <v>1144</v>
      </c>
      <c r="L48" s="5" t="s">
        <v>689</v>
      </c>
      <c r="M48" s="5" t="s">
        <v>1145</v>
      </c>
      <c r="N48" s="5" t="s">
        <v>1146</v>
      </c>
      <c r="O48" s="5" t="s">
        <v>143</v>
      </c>
      <c r="P48" s="5" t="s">
        <v>1147</v>
      </c>
      <c r="Q48" s="5" t="s">
        <v>79</v>
      </c>
    </row>
    <row r="49" spans="1:17" ht="45" customHeight="1" x14ac:dyDescent="0.35">
      <c r="A49" s="33" t="s">
        <v>1148</v>
      </c>
      <c r="B49" s="33" t="s">
        <v>158</v>
      </c>
      <c r="C49" s="33" t="s">
        <v>173</v>
      </c>
      <c r="D49" s="33" t="s">
        <v>181</v>
      </c>
      <c r="E49" s="3" t="s">
        <v>1149</v>
      </c>
      <c r="F49" s="3" t="s">
        <v>1150</v>
      </c>
      <c r="G49" s="3" t="s">
        <v>1151</v>
      </c>
      <c r="H49" s="3" t="s">
        <v>698</v>
      </c>
      <c r="I49" s="3" t="s">
        <v>1152</v>
      </c>
      <c r="J49" s="3" t="s">
        <v>1153</v>
      </c>
      <c r="K49" s="3" t="s">
        <v>1154</v>
      </c>
      <c r="L49" s="3" t="s">
        <v>689</v>
      </c>
      <c r="M49" s="3" t="s">
        <v>1155</v>
      </c>
      <c r="N49" s="3" t="s">
        <v>1156</v>
      </c>
      <c r="O49" s="3" t="s">
        <v>143</v>
      </c>
      <c r="P49" s="3" t="s">
        <v>1157</v>
      </c>
      <c r="Q49" s="3" t="s">
        <v>79</v>
      </c>
    </row>
    <row r="50" spans="1:17" ht="45" customHeight="1" x14ac:dyDescent="0.35">
      <c r="A50" s="33" t="s">
        <v>1158</v>
      </c>
      <c r="B50" s="33" t="s">
        <v>158</v>
      </c>
      <c r="C50" s="33" t="s">
        <v>173</v>
      </c>
      <c r="D50" s="33" t="s">
        <v>181</v>
      </c>
      <c r="E50" s="5" t="s">
        <v>1159</v>
      </c>
      <c r="F50" s="5" t="s">
        <v>1160</v>
      </c>
      <c r="G50" s="5" t="s">
        <v>1161</v>
      </c>
      <c r="H50" s="5" t="s">
        <v>698</v>
      </c>
      <c r="I50" s="5" t="s">
        <v>741</v>
      </c>
      <c r="J50" s="5" t="s">
        <v>1162</v>
      </c>
      <c r="K50" s="5" t="s">
        <v>1163</v>
      </c>
      <c r="L50" s="5" t="s">
        <v>689</v>
      </c>
      <c r="M50" s="5" t="s">
        <v>1164</v>
      </c>
      <c r="N50" s="5" t="s">
        <v>1165</v>
      </c>
      <c r="O50" s="5" t="s">
        <v>143</v>
      </c>
      <c r="P50" s="5" t="s">
        <v>1166</v>
      </c>
      <c r="Q50" s="5" t="s">
        <v>79</v>
      </c>
    </row>
    <row r="51" spans="1:17" ht="45" customHeight="1" x14ac:dyDescent="0.35">
      <c r="A51" s="34" t="s">
        <v>1167</v>
      </c>
      <c r="B51" s="34" t="s">
        <v>186</v>
      </c>
      <c r="C51" s="34" t="s">
        <v>188</v>
      </c>
      <c r="D51" s="34" t="s">
        <v>190</v>
      </c>
      <c r="E51" s="3" t="s">
        <v>1168</v>
      </c>
      <c r="F51" s="3" t="s">
        <v>1169</v>
      </c>
      <c r="G51" s="3" t="s">
        <v>1170</v>
      </c>
      <c r="H51" s="3" t="s">
        <v>698</v>
      </c>
      <c r="I51" s="3" t="s">
        <v>741</v>
      </c>
      <c r="J51" s="3" t="s">
        <v>1171</v>
      </c>
      <c r="K51" s="3" t="s">
        <v>1172</v>
      </c>
      <c r="L51" s="3" t="s">
        <v>689</v>
      </c>
      <c r="M51" s="3" t="s">
        <v>1173</v>
      </c>
      <c r="N51" s="3" t="s">
        <v>1174</v>
      </c>
      <c r="O51" s="3" t="s">
        <v>143</v>
      </c>
      <c r="P51" s="3" t="s">
        <v>977</v>
      </c>
      <c r="Q51" s="3" t="s">
        <v>79</v>
      </c>
    </row>
    <row r="52" spans="1:17" ht="45" customHeight="1" x14ac:dyDescent="0.35">
      <c r="A52" s="34" t="s">
        <v>1175</v>
      </c>
      <c r="B52" s="34" t="s">
        <v>186</v>
      </c>
      <c r="C52" s="34" t="s">
        <v>188</v>
      </c>
      <c r="D52" s="34" t="s">
        <v>190</v>
      </c>
      <c r="E52" s="5" t="s">
        <v>1176</v>
      </c>
      <c r="F52" s="5" t="s">
        <v>1177</v>
      </c>
      <c r="G52" s="5" t="s">
        <v>1178</v>
      </c>
      <c r="H52" s="5" t="s">
        <v>698</v>
      </c>
      <c r="I52" s="5" t="s">
        <v>741</v>
      </c>
      <c r="J52" s="5" t="s">
        <v>1179</v>
      </c>
      <c r="K52" s="5" t="s">
        <v>1180</v>
      </c>
      <c r="L52" s="5" t="s">
        <v>1181</v>
      </c>
      <c r="M52" s="5" t="s">
        <v>1182</v>
      </c>
      <c r="N52" s="5" t="s">
        <v>1183</v>
      </c>
      <c r="O52" s="5" t="s">
        <v>143</v>
      </c>
      <c r="P52" s="5" t="s">
        <v>1184</v>
      </c>
      <c r="Q52" s="5" t="s">
        <v>79</v>
      </c>
    </row>
    <row r="53" spans="1:17" ht="45" customHeight="1" x14ac:dyDescent="0.35">
      <c r="A53" s="34" t="s">
        <v>1185</v>
      </c>
      <c r="B53" s="34" t="s">
        <v>186</v>
      </c>
      <c r="C53" s="34" t="s">
        <v>188</v>
      </c>
      <c r="D53" s="34" t="s">
        <v>190</v>
      </c>
      <c r="E53" s="3" t="s">
        <v>1186</v>
      </c>
      <c r="F53" s="3" t="s">
        <v>1187</v>
      </c>
      <c r="G53" s="3" t="s">
        <v>1188</v>
      </c>
      <c r="H53" s="3" t="s">
        <v>698</v>
      </c>
      <c r="I53" s="3" t="s">
        <v>1189</v>
      </c>
      <c r="J53" s="3" t="s">
        <v>1190</v>
      </c>
      <c r="K53" s="3" t="s">
        <v>1191</v>
      </c>
      <c r="L53" s="3" t="s">
        <v>689</v>
      </c>
      <c r="M53" s="3" t="s">
        <v>1192</v>
      </c>
      <c r="N53" s="3" t="s">
        <v>1193</v>
      </c>
      <c r="O53" s="3" t="s">
        <v>143</v>
      </c>
      <c r="P53" s="3" t="s">
        <v>1194</v>
      </c>
      <c r="Q53" s="3" t="s">
        <v>79</v>
      </c>
    </row>
    <row r="54" spans="1:17" ht="45" customHeight="1" x14ac:dyDescent="0.35">
      <c r="A54" s="34" t="s">
        <v>1195</v>
      </c>
      <c r="B54" s="34" t="s">
        <v>186</v>
      </c>
      <c r="C54" s="34" t="s">
        <v>188</v>
      </c>
      <c r="D54" s="34" t="s">
        <v>196</v>
      </c>
      <c r="E54" s="5" t="s">
        <v>1196</v>
      </c>
      <c r="F54" s="5" t="s">
        <v>1197</v>
      </c>
      <c r="G54" s="5" t="s">
        <v>1198</v>
      </c>
      <c r="H54" s="5" t="s">
        <v>698</v>
      </c>
      <c r="I54" s="5" t="s">
        <v>1199</v>
      </c>
      <c r="J54" s="5" t="s">
        <v>1200</v>
      </c>
      <c r="K54" s="5" t="s">
        <v>1201</v>
      </c>
      <c r="L54" s="5" t="s">
        <v>689</v>
      </c>
      <c r="M54" s="5" t="s">
        <v>1202</v>
      </c>
      <c r="N54" s="5" t="s">
        <v>1203</v>
      </c>
      <c r="O54" s="5" t="s">
        <v>201</v>
      </c>
      <c r="P54" s="5" t="s">
        <v>1204</v>
      </c>
      <c r="Q54" s="5" t="s">
        <v>79</v>
      </c>
    </row>
    <row r="55" spans="1:17" ht="45" customHeight="1" x14ac:dyDescent="0.35">
      <c r="A55" s="34" t="s">
        <v>1205</v>
      </c>
      <c r="B55" s="34" t="s">
        <v>186</v>
      </c>
      <c r="C55" s="34" t="s">
        <v>188</v>
      </c>
      <c r="D55" s="34" t="s">
        <v>196</v>
      </c>
      <c r="E55" s="3" t="s">
        <v>1206</v>
      </c>
      <c r="F55" s="3" t="s">
        <v>1207</v>
      </c>
      <c r="G55" s="3" t="s">
        <v>1208</v>
      </c>
      <c r="H55" s="3" t="s">
        <v>685</v>
      </c>
      <c r="I55" s="3" t="s">
        <v>1209</v>
      </c>
      <c r="J55" s="3" t="s">
        <v>1210</v>
      </c>
      <c r="K55" s="3" t="s">
        <v>1201</v>
      </c>
      <c r="L55" s="3" t="s">
        <v>1211</v>
      </c>
      <c r="M55" s="3" t="s">
        <v>1212</v>
      </c>
      <c r="N55" s="3" t="s">
        <v>1213</v>
      </c>
      <c r="O55" s="3" t="s">
        <v>143</v>
      </c>
      <c r="P55" s="3" t="s">
        <v>1214</v>
      </c>
      <c r="Q55" s="3" t="s">
        <v>79</v>
      </c>
    </row>
    <row r="56" spans="1:17" ht="45" customHeight="1" x14ac:dyDescent="0.35">
      <c r="A56" s="34" t="s">
        <v>1215</v>
      </c>
      <c r="B56" s="34" t="s">
        <v>186</v>
      </c>
      <c r="C56" s="34" t="s">
        <v>188</v>
      </c>
      <c r="D56" s="34" t="s">
        <v>196</v>
      </c>
      <c r="E56" s="5" t="s">
        <v>1216</v>
      </c>
      <c r="F56" s="5" t="s">
        <v>1217</v>
      </c>
      <c r="G56" s="5" t="s">
        <v>1218</v>
      </c>
      <c r="H56" s="5" t="s">
        <v>698</v>
      </c>
      <c r="I56" s="5" t="s">
        <v>1219</v>
      </c>
      <c r="J56" s="5" t="s">
        <v>1210</v>
      </c>
      <c r="K56" s="5" t="s">
        <v>1220</v>
      </c>
      <c r="L56" s="5" t="s">
        <v>1221</v>
      </c>
      <c r="M56" s="5" t="s">
        <v>1222</v>
      </c>
      <c r="N56" s="5" t="s">
        <v>1223</v>
      </c>
      <c r="O56" s="5" t="s">
        <v>143</v>
      </c>
      <c r="P56" s="5" t="s">
        <v>1224</v>
      </c>
      <c r="Q56" s="5" t="s">
        <v>79</v>
      </c>
    </row>
    <row r="57" spans="1:17" ht="45" customHeight="1" x14ac:dyDescent="0.35">
      <c r="A57" s="34" t="s">
        <v>1225</v>
      </c>
      <c r="B57" s="34" t="s">
        <v>186</v>
      </c>
      <c r="C57" s="34" t="s">
        <v>202</v>
      </c>
      <c r="D57" s="34" t="s">
        <v>204</v>
      </c>
      <c r="E57" s="3" t="s">
        <v>1226</v>
      </c>
      <c r="F57" s="3" t="s">
        <v>1227</v>
      </c>
      <c r="G57" s="3" t="s">
        <v>1228</v>
      </c>
      <c r="H57" s="3" t="s">
        <v>685</v>
      </c>
      <c r="I57" s="3" t="s">
        <v>1229</v>
      </c>
      <c r="J57" s="3" t="s">
        <v>1230</v>
      </c>
      <c r="K57" s="3" t="s">
        <v>1231</v>
      </c>
      <c r="L57" s="3" t="s">
        <v>689</v>
      </c>
      <c r="M57" s="3" t="s">
        <v>1232</v>
      </c>
      <c r="N57" s="3" t="s">
        <v>1233</v>
      </c>
      <c r="O57" s="3" t="s">
        <v>600</v>
      </c>
      <c r="P57" s="3" t="s">
        <v>1234</v>
      </c>
      <c r="Q57" s="3" t="s">
        <v>79</v>
      </c>
    </row>
    <row r="58" spans="1:17" ht="45" customHeight="1" x14ac:dyDescent="0.35">
      <c r="A58" s="34" t="s">
        <v>1235</v>
      </c>
      <c r="B58" s="34" t="s">
        <v>186</v>
      </c>
      <c r="C58" s="34" t="s">
        <v>202</v>
      </c>
      <c r="D58" s="34" t="s">
        <v>204</v>
      </c>
      <c r="E58" s="5" t="s">
        <v>1236</v>
      </c>
      <c r="F58" s="5" t="s">
        <v>1237</v>
      </c>
      <c r="G58" s="5" t="s">
        <v>1238</v>
      </c>
      <c r="H58" s="5" t="s">
        <v>698</v>
      </c>
      <c r="I58" s="5" t="s">
        <v>1239</v>
      </c>
      <c r="J58" s="5" t="s">
        <v>1240</v>
      </c>
      <c r="K58" s="5" t="s">
        <v>1241</v>
      </c>
      <c r="L58" s="5" t="s">
        <v>689</v>
      </c>
      <c r="M58" s="5" t="s">
        <v>1242</v>
      </c>
      <c r="N58" s="5" t="s">
        <v>1243</v>
      </c>
      <c r="O58" s="5" t="s">
        <v>143</v>
      </c>
      <c r="P58" s="5" t="s">
        <v>1244</v>
      </c>
      <c r="Q58" s="5" t="s">
        <v>79</v>
      </c>
    </row>
    <row r="59" spans="1:17" ht="45" customHeight="1" x14ac:dyDescent="0.35">
      <c r="A59" s="34" t="s">
        <v>1245</v>
      </c>
      <c r="B59" s="34" t="s">
        <v>186</v>
      </c>
      <c r="C59" s="34" t="s">
        <v>202</v>
      </c>
      <c r="D59" s="34" t="s">
        <v>204</v>
      </c>
      <c r="E59" s="3" t="s">
        <v>1246</v>
      </c>
      <c r="F59" s="3" t="s">
        <v>1247</v>
      </c>
      <c r="G59" s="3" t="s">
        <v>1248</v>
      </c>
      <c r="H59" s="3" t="s">
        <v>698</v>
      </c>
      <c r="I59" s="3" t="s">
        <v>1249</v>
      </c>
      <c r="J59" s="3" t="s">
        <v>1124</v>
      </c>
      <c r="K59" s="3" t="s">
        <v>1250</v>
      </c>
      <c r="L59" s="3" t="s">
        <v>689</v>
      </c>
      <c r="M59" s="3" t="s">
        <v>1251</v>
      </c>
      <c r="N59" s="3" t="s">
        <v>1252</v>
      </c>
      <c r="O59" s="3" t="s">
        <v>143</v>
      </c>
      <c r="P59" s="3" t="s">
        <v>1253</v>
      </c>
      <c r="Q59" s="3" t="s">
        <v>79</v>
      </c>
    </row>
    <row r="60" spans="1:17" ht="45" customHeight="1" x14ac:dyDescent="0.35">
      <c r="A60" s="34" t="s">
        <v>1254</v>
      </c>
      <c r="B60" s="34" t="s">
        <v>186</v>
      </c>
      <c r="C60" s="34" t="s">
        <v>202</v>
      </c>
      <c r="D60" s="34" t="s">
        <v>210</v>
      </c>
      <c r="E60" s="5" t="s">
        <v>1255</v>
      </c>
      <c r="F60" s="5" t="s">
        <v>1256</v>
      </c>
      <c r="G60" s="5" t="s">
        <v>1257</v>
      </c>
      <c r="H60" s="5" t="s">
        <v>698</v>
      </c>
      <c r="I60" s="5" t="s">
        <v>1258</v>
      </c>
      <c r="J60" s="5" t="s">
        <v>1259</v>
      </c>
      <c r="K60" s="5" t="s">
        <v>1260</v>
      </c>
      <c r="L60" s="5" t="s">
        <v>689</v>
      </c>
      <c r="M60" s="5" t="s">
        <v>1261</v>
      </c>
      <c r="N60" s="5" t="s">
        <v>1262</v>
      </c>
      <c r="O60" s="5" t="s">
        <v>143</v>
      </c>
      <c r="P60" s="5" t="s">
        <v>1263</v>
      </c>
      <c r="Q60" s="5" t="s">
        <v>79</v>
      </c>
    </row>
    <row r="61" spans="1:17" ht="45" customHeight="1" x14ac:dyDescent="0.35">
      <c r="A61" s="34" t="s">
        <v>1264</v>
      </c>
      <c r="B61" s="34" t="s">
        <v>186</v>
      </c>
      <c r="C61" s="34" t="s">
        <v>202</v>
      </c>
      <c r="D61" s="34" t="s">
        <v>210</v>
      </c>
      <c r="E61" s="3" t="s">
        <v>1265</v>
      </c>
      <c r="F61" s="3" t="s">
        <v>1266</v>
      </c>
      <c r="G61" s="3" t="s">
        <v>1267</v>
      </c>
      <c r="H61" s="3" t="s">
        <v>698</v>
      </c>
      <c r="I61" s="3" t="s">
        <v>1268</v>
      </c>
      <c r="J61" s="3" t="s">
        <v>1259</v>
      </c>
      <c r="K61" s="3" t="s">
        <v>1269</v>
      </c>
      <c r="L61" s="3" t="s">
        <v>1270</v>
      </c>
      <c r="M61" s="3" t="s">
        <v>1271</v>
      </c>
      <c r="N61" s="3" t="s">
        <v>1272</v>
      </c>
      <c r="O61" s="3" t="s">
        <v>143</v>
      </c>
      <c r="P61" s="3" t="s">
        <v>1273</v>
      </c>
      <c r="Q61" s="3" t="s">
        <v>79</v>
      </c>
    </row>
    <row r="62" spans="1:17" ht="45" customHeight="1" x14ac:dyDescent="0.35">
      <c r="A62" s="34" t="s">
        <v>1274</v>
      </c>
      <c r="B62" s="34" t="s">
        <v>186</v>
      </c>
      <c r="C62" s="34" t="s">
        <v>202</v>
      </c>
      <c r="D62" s="34" t="s">
        <v>210</v>
      </c>
      <c r="E62" s="5" t="s">
        <v>1275</v>
      </c>
      <c r="F62" s="5" t="s">
        <v>1276</v>
      </c>
      <c r="G62" s="5" t="s">
        <v>1277</v>
      </c>
      <c r="H62" s="5" t="s">
        <v>698</v>
      </c>
      <c r="I62" s="5" t="s">
        <v>1278</v>
      </c>
      <c r="J62" s="5" t="s">
        <v>1240</v>
      </c>
      <c r="K62" s="5" t="s">
        <v>1279</v>
      </c>
      <c r="L62" s="5" t="s">
        <v>689</v>
      </c>
      <c r="M62" s="5" t="s">
        <v>1280</v>
      </c>
      <c r="N62" s="5" t="s">
        <v>1281</v>
      </c>
      <c r="O62" s="5" t="s">
        <v>143</v>
      </c>
      <c r="P62" s="5" t="s">
        <v>1282</v>
      </c>
      <c r="Q62" s="5" t="s">
        <v>79</v>
      </c>
    </row>
  </sheetData>
  <autoFilter ref="A2:Q2" xr:uid="{00000000-0009-0000-0000-000007000000}"/>
  <mergeCells count="1">
    <mergeCell ref="A1:Q1"/>
  </mergeCells>
  <pageMargins left="0.75" right="0.75" top="1" bottom="1" header="0.511811023622047" footer="0.511811023622047"/>
  <pageSetup paperSize="9"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L362"/>
  <sheetViews>
    <sheetView showGridLines="0" topLeftCell="G1" zoomScaleNormal="100" workbookViewId="0">
      <pane ySplit="2" topLeftCell="A3" activePane="bottomLeft" state="frozen"/>
      <selection pane="bottomLeft" activeCell="H7" sqref="H7"/>
    </sheetView>
  </sheetViews>
  <sheetFormatPr baseColWidth="10" defaultColWidth="8.6328125" defaultRowHeight="14.5" x14ac:dyDescent="0.35"/>
  <cols>
    <col min="1" max="1" width="12" customWidth="1"/>
    <col min="2" max="2" width="45" customWidth="1"/>
    <col min="3" max="3" width="6" customWidth="1"/>
    <col min="4" max="4" width="22" customWidth="1"/>
    <col min="5" max="5" width="55" customWidth="1"/>
    <col min="6" max="8" width="40" customWidth="1"/>
    <col min="9" max="9" width="35" customWidth="1"/>
    <col min="10" max="10" width="40" customWidth="1"/>
    <col min="11" max="11" width="25" customWidth="1"/>
    <col min="12" max="12" width="14" customWidth="1"/>
  </cols>
  <sheetData>
    <row r="1" spans="1:12" ht="21.75" customHeight="1" x14ac:dyDescent="0.35">
      <c r="A1" s="38" t="s">
        <v>1283</v>
      </c>
      <c r="B1" s="38"/>
      <c r="C1" s="38"/>
      <c r="D1" s="38"/>
      <c r="E1" s="38"/>
      <c r="F1" s="38"/>
      <c r="G1" s="38"/>
      <c r="H1" s="38"/>
      <c r="I1" s="38"/>
      <c r="J1" s="38"/>
      <c r="K1" s="38"/>
      <c r="L1" s="38"/>
    </row>
    <row r="2" spans="1:12" ht="21.75" customHeight="1" x14ac:dyDescent="0.35">
      <c r="A2" s="1" t="s">
        <v>669</v>
      </c>
      <c r="B2" s="1" t="s">
        <v>672</v>
      </c>
      <c r="C2" s="1" t="s">
        <v>1284</v>
      </c>
      <c r="D2" s="1" t="s">
        <v>1285</v>
      </c>
      <c r="E2" s="1" t="s">
        <v>1286</v>
      </c>
      <c r="F2" s="1" t="s">
        <v>1287</v>
      </c>
      <c r="G2" s="1" t="s">
        <v>250</v>
      </c>
      <c r="H2" s="1" t="s">
        <v>1288</v>
      </c>
      <c r="I2" s="1" t="s">
        <v>1289</v>
      </c>
      <c r="J2" s="1" t="s">
        <v>1290</v>
      </c>
      <c r="K2" s="1" t="s">
        <v>67</v>
      </c>
      <c r="L2" s="1" t="s">
        <v>68</v>
      </c>
    </row>
    <row r="3" spans="1:12" ht="49.5" customHeight="1" x14ac:dyDescent="0.35">
      <c r="A3" s="22" t="s">
        <v>681</v>
      </c>
      <c r="B3" s="23" t="s">
        <v>1291</v>
      </c>
      <c r="C3" s="22">
        <v>0</v>
      </c>
      <c r="D3" s="22" t="s">
        <v>221</v>
      </c>
      <c r="E3" s="23" t="s">
        <v>1292</v>
      </c>
      <c r="F3" s="23" t="s">
        <v>1293</v>
      </c>
      <c r="G3" s="23" t="s">
        <v>1294</v>
      </c>
      <c r="H3" s="23" t="s">
        <v>1295</v>
      </c>
      <c r="I3" s="23" t="s">
        <v>1296</v>
      </c>
      <c r="J3" s="23" t="s">
        <v>1297</v>
      </c>
      <c r="K3" s="23" t="s">
        <v>143</v>
      </c>
      <c r="L3" s="23" t="s">
        <v>79</v>
      </c>
    </row>
    <row r="4" spans="1:12" ht="49.5" customHeight="1" x14ac:dyDescent="0.35">
      <c r="A4" s="24" t="s">
        <v>681</v>
      </c>
      <c r="B4" s="23" t="s">
        <v>1291</v>
      </c>
      <c r="C4" s="24">
        <v>1</v>
      </c>
      <c r="D4" s="24" t="s">
        <v>225</v>
      </c>
      <c r="E4" s="23" t="s">
        <v>1298</v>
      </c>
      <c r="F4" s="23" t="s">
        <v>1299</v>
      </c>
      <c r="G4" s="23" t="s">
        <v>1300</v>
      </c>
      <c r="H4" s="23" t="s">
        <v>1301</v>
      </c>
      <c r="I4" s="23" t="s">
        <v>1302</v>
      </c>
      <c r="J4" s="23" t="s">
        <v>1303</v>
      </c>
      <c r="K4" s="23" t="s">
        <v>143</v>
      </c>
      <c r="L4" s="23" t="s">
        <v>79</v>
      </c>
    </row>
    <row r="5" spans="1:12" ht="49.5" customHeight="1" x14ac:dyDescent="0.35">
      <c r="A5" s="25" t="s">
        <v>681</v>
      </c>
      <c r="B5" s="23" t="s">
        <v>1291</v>
      </c>
      <c r="C5" s="25">
        <v>2</v>
      </c>
      <c r="D5" s="25" t="s">
        <v>229</v>
      </c>
      <c r="E5" s="23" t="s">
        <v>1304</v>
      </c>
      <c r="F5" s="23" t="s">
        <v>1305</v>
      </c>
      <c r="G5" s="23" t="s">
        <v>1306</v>
      </c>
      <c r="H5" s="23" t="s">
        <v>1307</v>
      </c>
      <c r="I5" s="23" t="s">
        <v>1308</v>
      </c>
      <c r="J5" s="23" t="s">
        <v>1309</v>
      </c>
      <c r="K5" s="23" t="s">
        <v>143</v>
      </c>
      <c r="L5" s="23" t="s">
        <v>79</v>
      </c>
    </row>
    <row r="6" spans="1:12" ht="49.5" customHeight="1" x14ac:dyDescent="0.35">
      <c r="A6" s="26" t="s">
        <v>681</v>
      </c>
      <c r="B6" s="3" t="s">
        <v>1291</v>
      </c>
      <c r="C6" s="26">
        <v>3</v>
      </c>
      <c r="D6" s="26" t="s">
        <v>233</v>
      </c>
      <c r="E6" s="3" t="s">
        <v>1310</v>
      </c>
      <c r="F6" s="3" t="s">
        <v>1311</v>
      </c>
      <c r="G6" s="3" t="s">
        <v>1312</v>
      </c>
      <c r="H6" s="3" t="s">
        <v>1313</v>
      </c>
      <c r="I6" s="3" t="s">
        <v>1314</v>
      </c>
      <c r="J6" s="3" t="s">
        <v>1315</v>
      </c>
      <c r="K6" s="3" t="s">
        <v>143</v>
      </c>
      <c r="L6" s="3" t="s">
        <v>79</v>
      </c>
    </row>
    <row r="7" spans="1:12" ht="49.5" customHeight="1" x14ac:dyDescent="0.35">
      <c r="A7" s="27" t="s">
        <v>681</v>
      </c>
      <c r="B7" s="3" t="s">
        <v>1291</v>
      </c>
      <c r="C7" s="27">
        <v>4</v>
      </c>
      <c r="D7" s="27" t="s">
        <v>237</v>
      </c>
      <c r="E7" s="3" t="s">
        <v>1316</v>
      </c>
      <c r="F7" s="3" t="s">
        <v>1317</v>
      </c>
      <c r="G7" s="3" t="s">
        <v>1318</v>
      </c>
      <c r="H7" s="3" t="s">
        <v>1319</v>
      </c>
      <c r="I7" s="3" t="s">
        <v>1320</v>
      </c>
      <c r="J7" s="3" t="s">
        <v>1321</v>
      </c>
      <c r="K7" s="3" t="s">
        <v>143</v>
      </c>
      <c r="L7" s="3" t="s">
        <v>79</v>
      </c>
    </row>
    <row r="8" spans="1:12" ht="49.5" customHeight="1" x14ac:dyDescent="0.35">
      <c r="A8" s="28" t="s">
        <v>681</v>
      </c>
      <c r="B8" s="3" t="s">
        <v>1291</v>
      </c>
      <c r="C8" s="28">
        <v>5</v>
      </c>
      <c r="D8" s="28" t="s">
        <v>241</v>
      </c>
      <c r="E8" s="3" t="s">
        <v>1322</v>
      </c>
      <c r="F8" s="3" t="s">
        <v>1323</v>
      </c>
      <c r="G8" s="3" t="s">
        <v>1324</v>
      </c>
      <c r="H8" s="3" t="s">
        <v>1325</v>
      </c>
      <c r="I8" s="3" t="s">
        <v>1326</v>
      </c>
      <c r="J8" s="3" t="s">
        <v>1327</v>
      </c>
      <c r="K8" s="3" t="s">
        <v>143</v>
      </c>
      <c r="L8" s="3" t="s">
        <v>79</v>
      </c>
    </row>
    <row r="9" spans="1:12" ht="49.5" customHeight="1" x14ac:dyDescent="0.35">
      <c r="A9" s="22" t="s">
        <v>694</v>
      </c>
      <c r="B9" s="3" t="s">
        <v>1328</v>
      </c>
      <c r="C9" s="22">
        <v>0</v>
      </c>
      <c r="D9" s="22" t="s">
        <v>221</v>
      </c>
      <c r="E9" s="3" t="s">
        <v>1329</v>
      </c>
      <c r="F9" s="3" t="s">
        <v>1330</v>
      </c>
      <c r="G9" s="3" t="s">
        <v>1331</v>
      </c>
      <c r="H9" s="3" t="s">
        <v>1332</v>
      </c>
      <c r="I9" s="3" t="s">
        <v>1333</v>
      </c>
      <c r="J9" s="3" t="s">
        <v>1334</v>
      </c>
      <c r="K9" s="3" t="s">
        <v>143</v>
      </c>
      <c r="L9" s="3" t="s">
        <v>79</v>
      </c>
    </row>
    <row r="10" spans="1:12" ht="49.5" customHeight="1" x14ac:dyDescent="0.35">
      <c r="A10" s="24" t="s">
        <v>694</v>
      </c>
      <c r="B10" s="3" t="s">
        <v>1328</v>
      </c>
      <c r="C10" s="24">
        <v>1</v>
      </c>
      <c r="D10" s="24" t="s">
        <v>225</v>
      </c>
      <c r="E10" s="3" t="s">
        <v>1335</v>
      </c>
      <c r="F10" s="3" t="s">
        <v>1336</v>
      </c>
      <c r="G10" s="3" t="s">
        <v>1337</v>
      </c>
      <c r="H10" s="3" t="s">
        <v>1338</v>
      </c>
      <c r="I10" s="3" t="s">
        <v>1339</v>
      </c>
      <c r="J10" s="3" t="s">
        <v>1340</v>
      </c>
      <c r="K10" s="3" t="s">
        <v>143</v>
      </c>
      <c r="L10" s="3" t="s">
        <v>79</v>
      </c>
    </row>
    <row r="11" spans="1:12" ht="49.5" customHeight="1" x14ac:dyDescent="0.35">
      <c r="A11" s="25" t="s">
        <v>694</v>
      </c>
      <c r="B11" s="3" t="s">
        <v>1328</v>
      </c>
      <c r="C11" s="25">
        <v>2</v>
      </c>
      <c r="D11" s="25" t="s">
        <v>229</v>
      </c>
      <c r="E11" s="3" t="s">
        <v>1341</v>
      </c>
      <c r="F11" s="3" t="s">
        <v>1342</v>
      </c>
      <c r="G11" s="3" t="s">
        <v>1343</v>
      </c>
      <c r="H11" s="3" t="s">
        <v>1344</v>
      </c>
      <c r="I11" s="3" t="s">
        <v>1345</v>
      </c>
      <c r="J11" s="3" t="s">
        <v>1346</v>
      </c>
      <c r="K11" s="3" t="s">
        <v>143</v>
      </c>
      <c r="L11" s="3" t="s">
        <v>79</v>
      </c>
    </row>
    <row r="12" spans="1:12" ht="49.5" customHeight="1" x14ac:dyDescent="0.35">
      <c r="A12" s="26" t="s">
        <v>694</v>
      </c>
      <c r="B12" s="23" t="s">
        <v>1328</v>
      </c>
      <c r="C12" s="26">
        <v>3</v>
      </c>
      <c r="D12" s="26" t="s">
        <v>233</v>
      </c>
      <c r="E12" s="23" t="s">
        <v>1347</v>
      </c>
      <c r="F12" s="23" t="s">
        <v>1348</v>
      </c>
      <c r="G12" s="23" t="s">
        <v>1349</v>
      </c>
      <c r="H12" s="23" t="s">
        <v>1350</v>
      </c>
      <c r="I12" s="23" t="s">
        <v>1351</v>
      </c>
      <c r="J12" s="23" t="s">
        <v>1352</v>
      </c>
      <c r="K12" s="23" t="s">
        <v>143</v>
      </c>
      <c r="L12" s="23" t="s">
        <v>79</v>
      </c>
    </row>
    <row r="13" spans="1:12" ht="49.5" customHeight="1" x14ac:dyDescent="0.35">
      <c r="A13" s="27" t="s">
        <v>694</v>
      </c>
      <c r="B13" s="23" t="s">
        <v>1328</v>
      </c>
      <c r="C13" s="27">
        <v>4</v>
      </c>
      <c r="D13" s="27" t="s">
        <v>237</v>
      </c>
      <c r="E13" s="23" t="s">
        <v>1353</v>
      </c>
      <c r="F13" s="23" t="s">
        <v>1354</v>
      </c>
      <c r="G13" s="23" t="s">
        <v>1355</v>
      </c>
      <c r="H13" s="23" t="s">
        <v>1356</v>
      </c>
      <c r="I13" s="23" t="s">
        <v>1357</v>
      </c>
      <c r="J13" s="23" t="s">
        <v>1358</v>
      </c>
      <c r="K13" s="23" t="s">
        <v>143</v>
      </c>
      <c r="L13" s="23" t="s">
        <v>79</v>
      </c>
    </row>
    <row r="14" spans="1:12" ht="49.5" customHeight="1" x14ac:dyDescent="0.35">
      <c r="A14" s="28" t="s">
        <v>694</v>
      </c>
      <c r="B14" s="23" t="s">
        <v>1328</v>
      </c>
      <c r="C14" s="28">
        <v>5</v>
      </c>
      <c r="D14" s="28" t="s">
        <v>241</v>
      </c>
      <c r="E14" s="23" t="s">
        <v>1359</v>
      </c>
      <c r="F14" s="23" t="s">
        <v>1360</v>
      </c>
      <c r="G14" s="23" t="s">
        <v>1361</v>
      </c>
      <c r="H14" s="23" t="s">
        <v>1362</v>
      </c>
      <c r="I14" s="23" t="s">
        <v>1363</v>
      </c>
      <c r="J14" s="23" t="s">
        <v>1364</v>
      </c>
      <c r="K14" s="23" t="s">
        <v>143</v>
      </c>
      <c r="L14" s="23" t="s">
        <v>79</v>
      </c>
    </row>
    <row r="15" spans="1:12" ht="49.5" customHeight="1" x14ac:dyDescent="0.35">
      <c r="A15" s="22" t="s">
        <v>705</v>
      </c>
      <c r="B15" s="23" t="s">
        <v>1365</v>
      </c>
      <c r="C15" s="22">
        <v>0</v>
      </c>
      <c r="D15" s="22" t="s">
        <v>221</v>
      </c>
      <c r="E15" s="23" t="s">
        <v>1366</v>
      </c>
      <c r="F15" s="23" t="s">
        <v>1367</v>
      </c>
      <c r="G15" s="23" t="s">
        <v>1368</v>
      </c>
      <c r="H15" s="23" t="s">
        <v>1369</v>
      </c>
      <c r="I15" s="23" t="s">
        <v>1370</v>
      </c>
      <c r="J15" s="23" t="s">
        <v>1371</v>
      </c>
      <c r="K15" s="23" t="s">
        <v>143</v>
      </c>
      <c r="L15" s="23" t="s">
        <v>79</v>
      </c>
    </row>
    <row r="16" spans="1:12" ht="49.5" customHeight="1" x14ac:dyDescent="0.35">
      <c r="A16" s="24" t="s">
        <v>705</v>
      </c>
      <c r="B16" s="23" t="s">
        <v>1365</v>
      </c>
      <c r="C16" s="24">
        <v>1</v>
      </c>
      <c r="D16" s="24" t="s">
        <v>225</v>
      </c>
      <c r="E16" s="23" t="s">
        <v>1372</v>
      </c>
      <c r="F16" s="23" t="s">
        <v>1373</v>
      </c>
      <c r="G16" s="23" t="s">
        <v>1374</v>
      </c>
      <c r="H16" s="23" t="s">
        <v>1375</v>
      </c>
      <c r="I16" s="23" t="s">
        <v>1376</v>
      </c>
      <c r="J16" s="23" t="s">
        <v>1377</v>
      </c>
      <c r="K16" s="23" t="s">
        <v>143</v>
      </c>
      <c r="L16" s="23" t="s">
        <v>79</v>
      </c>
    </row>
    <row r="17" spans="1:12" ht="49.5" customHeight="1" x14ac:dyDescent="0.35">
      <c r="A17" s="25" t="s">
        <v>705</v>
      </c>
      <c r="B17" s="23" t="s">
        <v>1365</v>
      </c>
      <c r="C17" s="25">
        <v>2</v>
      </c>
      <c r="D17" s="25" t="s">
        <v>229</v>
      </c>
      <c r="E17" s="23" t="s">
        <v>1378</v>
      </c>
      <c r="F17" s="23" t="s">
        <v>1379</v>
      </c>
      <c r="G17" s="23" t="s">
        <v>1380</v>
      </c>
      <c r="H17" s="23" t="s">
        <v>1381</v>
      </c>
      <c r="I17" s="23" t="s">
        <v>1382</v>
      </c>
      <c r="J17" s="23" t="s">
        <v>1383</v>
      </c>
      <c r="K17" s="23" t="s">
        <v>143</v>
      </c>
      <c r="L17" s="23" t="s">
        <v>79</v>
      </c>
    </row>
    <row r="18" spans="1:12" ht="49.5" customHeight="1" x14ac:dyDescent="0.35">
      <c r="A18" s="26" t="s">
        <v>705</v>
      </c>
      <c r="B18" s="3" t="s">
        <v>1365</v>
      </c>
      <c r="C18" s="26">
        <v>3</v>
      </c>
      <c r="D18" s="26" t="s">
        <v>233</v>
      </c>
      <c r="E18" s="3" t="s">
        <v>1384</v>
      </c>
      <c r="F18" s="3" t="s">
        <v>1385</v>
      </c>
      <c r="G18" s="3" t="s">
        <v>1386</v>
      </c>
      <c r="H18" s="3" t="s">
        <v>1387</v>
      </c>
      <c r="I18" s="3" t="s">
        <v>1388</v>
      </c>
      <c r="J18" s="3" t="s">
        <v>1389</v>
      </c>
      <c r="K18" s="3" t="s">
        <v>143</v>
      </c>
      <c r="L18" s="3" t="s">
        <v>79</v>
      </c>
    </row>
    <row r="19" spans="1:12" ht="49.5" customHeight="1" x14ac:dyDescent="0.35">
      <c r="A19" s="27" t="s">
        <v>705</v>
      </c>
      <c r="B19" s="3" t="s">
        <v>1365</v>
      </c>
      <c r="C19" s="27">
        <v>4</v>
      </c>
      <c r="D19" s="27" t="s">
        <v>237</v>
      </c>
      <c r="E19" s="3" t="s">
        <v>1390</v>
      </c>
      <c r="F19" s="3" t="s">
        <v>1391</v>
      </c>
      <c r="G19" s="3" t="s">
        <v>1392</v>
      </c>
      <c r="H19" s="3" t="s">
        <v>1393</v>
      </c>
      <c r="I19" s="3" t="s">
        <v>1394</v>
      </c>
      <c r="J19" s="3" t="s">
        <v>1321</v>
      </c>
      <c r="K19" s="3" t="s">
        <v>143</v>
      </c>
      <c r="L19" s="3" t="s">
        <v>79</v>
      </c>
    </row>
    <row r="20" spans="1:12" ht="49.5" customHeight="1" x14ac:dyDescent="0.35">
      <c r="A20" s="28" t="s">
        <v>705</v>
      </c>
      <c r="B20" s="3" t="s">
        <v>1365</v>
      </c>
      <c r="C20" s="28">
        <v>5</v>
      </c>
      <c r="D20" s="28" t="s">
        <v>241</v>
      </c>
      <c r="E20" s="3" t="s">
        <v>1395</v>
      </c>
      <c r="F20" s="3" t="s">
        <v>1396</v>
      </c>
      <c r="G20" s="3" t="s">
        <v>1397</v>
      </c>
      <c r="H20" s="3" t="s">
        <v>1398</v>
      </c>
      <c r="I20" s="3" t="s">
        <v>1399</v>
      </c>
      <c r="J20" s="3" t="s">
        <v>1364</v>
      </c>
      <c r="K20" s="3" t="s">
        <v>143</v>
      </c>
      <c r="L20" s="3" t="s">
        <v>79</v>
      </c>
    </row>
    <row r="21" spans="1:12" ht="49.5" customHeight="1" x14ac:dyDescent="0.35">
      <c r="A21" s="22" t="s">
        <v>716</v>
      </c>
      <c r="B21" s="3" t="s">
        <v>1400</v>
      </c>
      <c r="C21" s="22">
        <v>0</v>
      </c>
      <c r="D21" s="22" t="s">
        <v>221</v>
      </c>
      <c r="E21" s="3" t="s">
        <v>1401</v>
      </c>
      <c r="F21" s="3" t="s">
        <v>1402</v>
      </c>
      <c r="G21" s="3" t="s">
        <v>1403</v>
      </c>
      <c r="H21" s="3" t="s">
        <v>1404</v>
      </c>
      <c r="I21" s="3" t="s">
        <v>1405</v>
      </c>
      <c r="J21" s="3" t="s">
        <v>1406</v>
      </c>
      <c r="K21" s="3" t="s">
        <v>143</v>
      </c>
      <c r="L21" s="3" t="s">
        <v>79</v>
      </c>
    </row>
    <row r="22" spans="1:12" ht="49.5" customHeight="1" x14ac:dyDescent="0.35">
      <c r="A22" s="24" t="s">
        <v>716</v>
      </c>
      <c r="B22" s="3" t="s">
        <v>1400</v>
      </c>
      <c r="C22" s="24">
        <v>1</v>
      </c>
      <c r="D22" s="24" t="s">
        <v>225</v>
      </c>
      <c r="E22" s="3" t="s">
        <v>1407</v>
      </c>
      <c r="F22" s="3" t="s">
        <v>1408</v>
      </c>
      <c r="G22" s="3" t="s">
        <v>1409</v>
      </c>
      <c r="H22" s="3" t="s">
        <v>1410</v>
      </c>
      <c r="I22" s="3" t="s">
        <v>1411</v>
      </c>
      <c r="J22" s="3" t="s">
        <v>1412</v>
      </c>
      <c r="K22" s="3" t="s">
        <v>143</v>
      </c>
      <c r="L22" s="3" t="s">
        <v>79</v>
      </c>
    </row>
    <row r="23" spans="1:12" ht="49.5" customHeight="1" x14ac:dyDescent="0.35">
      <c r="A23" s="25" t="s">
        <v>716</v>
      </c>
      <c r="B23" s="3" t="s">
        <v>1400</v>
      </c>
      <c r="C23" s="25">
        <v>2</v>
      </c>
      <c r="D23" s="25" t="s">
        <v>229</v>
      </c>
      <c r="E23" s="3" t="s">
        <v>1413</v>
      </c>
      <c r="F23" s="3" t="s">
        <v>1414</v>
      </c>
      <c r="G23" s="3" t="s">
        <v>1415</v>
      </c>
      <c r="H23" s="3" t="s">
        <v>1416</v>
      </c>
      <c r="I23" s="3" t="s">
        <v>1417</v>
      </c>
      <c r="J23" s="3" t="s">
        <v>1418</v>
      </c>
      <c r="K23" s="3" t="s">
        <v>143</v>
      </c>
      <c r="L23" s="3" t="s">
        <v>79</v>
      </c>
    </row>
    <row r="24" spans="1:12" ht="49.5" customHeight="1" x14ac:dyDescent="0.35">
      <c r="A24" s="26" t="s">
        <v>716</v>
      </c>
      <c r="B24" s="23" t="s">
        <v>1400</v>
      </c>
      <c r="C24" s="26">
        <v>3</v>
      </c>
      <c r="D24" s="26" t="s">
        <v>233</v>
      </c>
      <c r="E24" s="23" t="s">
        <v>1419</v>
      </c>
      <c r="F24" s="23" t="s">
        <v>1420</v>
      </c>
      <c r="G24" s="23" t="s">
        <v>1421</v>
      </c>
      <c r="H24" s="23" t="s">
        <v>1422</v>
      </c>
      <c r="I24" s="23" t="s">
        <v>1423</v>
      </c>
      <c r="J24" s="23" t="s">
        <v>1424</v>
      </c>
      <c r="K24" s="23" t="s">
        <v>143</v>
      </c>
      <c r="L24" s="23" t="s">
        <v>79</v>
      </c>
    </row>
    <row r="25" spans="1:12" ht="49.5" customHeight="1" x14ac:dyDescent="0.35">
      <c r="A25" s="27" t="s">
        <v>716</v>
      </c>
      <c r="B25" s="23" t="s">
        <v>1400</v>
      </c>
      <c r="C25" s="27">
        <v>4</v>
      </c>
      <c r="D25" s="27" t="s">
        <v>237</v>
      </c>
      <c r="E25" s="23" t="s">
        <v>1425</v>
      </c>
      <c r="F25" s="23" t="s">
        <v>1426</v>
      </c>
      <c r="G25" s="23" t="s">
        <v>1427</v>
      </c>
      <c r="H25" s="23" t="s">
        <v>1428</v>
      </c>
      <c r="I25" s="23" t="s">
        <v>1429</v>
      </c>
      <c r="J25" s="23" t="s">
        <v>1430</v>
      </c>
      <c r="K25" s="23" t="s">
        <v>143</v>
      </c>
      <c r="L25" s="23" t="s">
        <v>79</v>
      </c>
    </row>
    <row r="26" spans="1:12" ht="49.5" customHeight="1" x14ac:dyDescent="0.35">
      <c r="A26" s="28" t="s">
        <v>716</v>
      </c>
      <c r="B26" s="23" t="s">
        <v>1400</v>
      </c>
      <c r="C26" s="28">
        <v>5</v>
      </c>
      <c r="D26" s="28" t="s">
        <v>241</v>
      </c>
      <c r="E26" s="23" t="s">
        <v>1431</v>
      </c>
      <c r="F26" s="23" t="s">
        <v>1432</v>
      </c>
      <c r="G26" s="23" t="s">
        <v>1433</v>
      </c>
      <c r="H26" s="23" t="s">
        <v>1434</v>
      </c>
      <c r="I26" s="23" t="s">
        <v>1435</v>
      </c>
      <c r="J26" s="23" t="s">
        <v>1364</v>
      </c>
      <c r="K26" s="23" t="s">
        <v>143</v>
      </c>
      <c r="L26" s="23" t="s">
        <v>79</v>
      </c>
    </row>
    <row r="27" spans="1:12" ht="49.5" customHeight="1" x14ac:dyDescent="0.35">
      <c r="A27" s="22" t="s">
        <v>727</v>
      </c>
      <c r="B27" s="23" t="s">
        <v>1436</v>
      </c>
      <c r="C27" s="22">
        <v>0</v>
      </c>
      <c r="D27" s="22" t="s">
        <v>221</v>
      </c>
      <c r="E27" s="23" t="s">
        <v>1437</v>
      </c>
      <c r="F27" s="23" t="s">
        <v>1438</v>
      </c>
      <c r="G27" s="23" t="s">
        <v>1439</v>
      </c>
      <c r="H27" s="23" t="s">
        <v>1440</v>
      </c>
      <c r="I27" s="23" t="s">
        <v>1441</v>
      </c>
      <c r="J27" s="23" t="s">
        <v>1442</v>
      </c>
      <c r="K27" s="23" t="s">
        <v>143</v>
      </c>
      <c r="L27" s="23" t="s">
        <v>79</v>
      </c>
    </row>
    <row r="28" spans="1:12" ht="49.5" customHeight="1" x14ac:dyDescent="0.35">
      <c r="A28" s="24" t="s">
        <v>727</v>
      </c>
      <c r="B28" s="23" t="s">
        <v>1436</v>
      </c>
      <c r="C28" s="24">
        <v>1</v>
      </c>
      <c r="D28" s="24" t="s">
        <v>225</v>
      </c>
      <c r="E28" s="23" t="s">
        <v>1443</v>
      </c>
      <c r="F28" s="23" t="s">
        <v>1444</v>
      </c>
      <c r="G28" s="23" t="s">
        <v>1445</v>
      </c>
      <c r="H28" s="23" t="s">
        <v>1446</v>
      </c>
      <c r="I28" s="23" t="s">
        <v>1447</v>
      </c>
      <c r="J28" s="23" t="s">
        <v>1448</v>
      </c>
      <c r="K28" s="23" t="s">
        <v>143</v>
      </c>
      <c r="L28" s="23" t="s">
        <v>79</v>
      </c>
    </row>
    <row r="29" spans="1:12" ht="49.5" customHeight="1" x14ac:dyDescent="0.35">
      <c r="A29" s="25" t="s">
        <v>727</v>
      </c>
      <c r="B29" s="23" t="s">
        <v>1436</v>
      </c>
      <c r="C29" s="25">
        <v>2</v>
      </c>
      <c r="D29" s="25" t="s">
        <v>229</v>
      </c>
      <c r="E29" s="23" t="s">
        <v>1449</v>
      </c>
      <c r="F29" s="23" t="s">
        <v>1450</v>
      </c>
      <c r="G29" s="23" t="s">
        <v>1451</v>
      </c>
      <c r="H29" s="23" t="s">
        <v>1452</v>
      </c>
      <c r="I29" s="23" t="s">
        <v>1453</v>
      </c>
      <c r="J29" s="23" t="s">
        <v>1454</v>
      </c>
      <c r="K29" s="23" t="s">
        <v>143</v>
      </c>
      <c r="L29" s="23" t="s">
        <v>79</v>
      </c>
    </row>
    <row r="30" spans="1:12" ht="49.5" customHeight="1" x14ac:dyDescent="0.35">
      <c r="A30" s="26" t="s">
        <v>727</v>
      </c>
      <c r="B30" s="3" t="s">
        <v>1436</v>
      </c>
      <c r="C30" s="26">
        <v>3</v>
      </c>
      <c r="D30" s="26" t="s">
        <v>233</v>
      </c>
      <c r="E30" s="3" t="s">
        <v>1455</v>
      </c>
      <c r="F30" s="3" t="s">
        <v>1456</v>
      </c>
      <c r="G30" s="3" t="s">
        <v>1457</v>
      </c>
      <c r="H30" s="3" t="s">
        <v>1458</v>
      </c>
      <c r="I30" s="3" t="s">
        <v>1459</v>
      </c>
      <c r="J30" s="3" t="s">
        <v>1460</v>
      </c>
      <c r="K30" s="3" t="s">
        <v>143</v>
      </c>
      <c r="L30" s="3" t="s">
        <v>79</v>
      </c>
    </row>
    <row r="31" spans="1:12" ht="49.5" customHeight="1" x14ac:dyDescent="0.35">
      <c r="A31" s="27" t="s">
        <v>727</v>
      </c>
      <c r="B31" s="3" t="s">
        <v>1436</v>
      </c>
      <c r="C31" s="27">
        <v>4</v>
      </c>
      <c r="D31" s="27" t="s">
        <v>237</v>
      </c>
      <c r="E31" s="3" t="s">
        <v>1461</v>
      </c>
      <c r="F31" s="3" t="s">
        <v>1462</v>
      </c>
      <c r="G31" s="3" t="s">
        <v>1463</v>
      </c>
      <c r="H31" s="3" t="s">
        <v>1464</v>
      </c>
      <c r="I31" s="3" t="s">
        <v>1465</v>
      </c>
      <c r="J31" s="3" t="s">
        <v>1466</v>
      </c>
      <c r="K31" s="3" t="s">
        <v>143</v>
      </c>
      <c r="L31" s="3" t="s">
        <v>79</v>
      </c>
    </row>
    <row r="32" spans="1:12" ht="49.5" customHeight="1" x14ac:dyDescent="0.35">
      <c r="A32" s="28" t="s">
        <v>727</v>
      </c>
      <c r="B32" s="3" t="s">
        <v>1436</v>
      </c>
      <c r="C32" s="28">
        <v>5</v>
      </c>
      <c r="D32" s="28" t="s">
        <v>241</v>
      </c>
      <c r="E32" s="3" t="s">
        <v>1467</v>
      </c>
      <c r="F32" s="3" t="s">
        <v>1468</v>
      </c>
      <c r="G32" s="3" t="s">
        <v>1469</v>
      </c>
      <c r="H32" s="3" t="s">
        <v>1470</v>
      </c>
      <c r="I32" s="3" t="s">
        <v>1471</v>
      </c>
      <c r="J32" s="3" t="s">
        <v>1364</v>
      </c>
      <c r="K32" s="3" t="s">
        <v>143</v>
      </c>
      <c r="L32" s="3" t="s">
        <v>79</v>
      </c>
    </row>
    <row r="33" spans="1:12" ht="49.5" customHeight="1" x14ac:dyDescent="0.35">
      <c r="A33" s="22" t="s">
        <v>737</v>
      </c>
      <c r="B33" s="3" t="s">
        <v>1472</v>
      </c>
      <c r="C33" s="22">
        <v>0</v>
      </c>
      <c r="D33" s="22" t="s">
        <v>221</v>
      </c>
      <c r="E33" s="3" t="s">
        <v>1473</v>
      </c>
      <c r="F33" s="3" t="s">
        <v>1474</v>
      </c>
      <c r="G33" s="3" t="s">
        <v>1475</v>
      </c>
      <c r="H33" s="3" t="s">
        <v>1476</v>
      </c>
      <c r="I33" s="3" t="s">
        <v>1477</v>
      </c>
      <c r="J33" s="3" t="s">
        <v>1478</v>
      </c>
      <c r="K33" s="3" t="s">
        <v>143</v>
      </c>
      <c r="L33" s="3" t="s">
        <v>79</v>
      </c>
    </row>
    <row r="34" spans="1:12" ht="49.5" customHeight="1" x14ac:dyDescent="0.35">
      <c r="A34" s="24" t="s">
        <v>737</v>
      </c>
      <c r="B34" s="3" t="s">
        <v>1472</v>
      </c>
      <c r="C34" s="24">
        <v>1</v>
      </c>
      <c r="D34" s="24" t="s">
        <v>225</v>
      </c>
      <c r="E34" s="3" t="s">
        <v>1479</v>
      </c>
      <c r="F34" s="3" t="s">
        <v>1480</v>
      </c>
      <c r="G34" s="3" t="s">
        <v>1481</v>
      </c>
      <c r="H34" s="3" t="s">
        <v>1482</v>
      </c>
      <c r="I34" s="3" t="s">
        <v>1483</v>
      </c>
      <c r="J34" s="3" t="s">
        <v>1484</v>
      </c>
      <c r="K34" s="3" t="s">
        <v>143</v>
      </c>
      <c r="L34" s="3" t="s">
        <v>79</v>
      </c>
    </row>
    <row r="35" spans="1:12" ht="49.5" customHeight="1" x14ac:dyDescent="0.35">
      <c r="A35" s="25" t="s">
        <v>737</v>
      </c>
      <c r="B35" s="3" t="s">
        <v>1472</v>
      </c>
      <c r="C35" s="25">
        <v>2</v>
      </c>
      <c r="D35" s="25" t="s">
        <v>229</v>
      </c>
      <c r="E35" s="3" t="s">
        <v>1485</v>
      </c>
      <c r="F35" s="3" t="s">
        <v>1486</v>
      </c>
      <c r="G35" s="3" t="s">
        <v>1487</v>
      </c>
      <c r="H35" s="3" t="s">
        <v>1488</v>
      </c>
      <c r="I35" s="3" t="s">
        <v>1489</v>
      </c>
      <c r="J35" s="3" t="s">
        <v>1490</v>
      </c>
      <c r="K35" s="3" t="s">
        <v>143</v>
      </c>
      <c r="L35" s="3" t="s">
        <v>79</v>
      </c>
    </row>
    <row r="36" spans="1:12" ht="49.5" customHeight="1" x14ac:dyDescent="0.35">
      <c r="A36" s="26" t="s">
        <v>737</v>
      </c>
      <c r="B36" s="23" t="s">
        <v>1472</v>
      </c>
      <c r="C36" s="26">
        <v>3</v>
      </c>
      <c r="D36" s="26" t="s">
        <v>233</v>
      </c>
      <c r="E36" s="23" t="s">
        <v>1491</v>
      </c>
      <c r="F36" s="23" t="s">
        <v>1492</v>
      </c>
      <c r="G36" s="23" t="s">
        <v>1493</v>
      </c>
      <c r="H36" s="23" t="s">
        <v>1494</v>
      </c>
      <c r="I36" s="23" t="s">
        <v>1495</v>
      </c>
      <c r="J36" s="23" t="s">
        <v>1496</v>
      </c>
      <c r="K36" s="23" t="s">
        <v>143</v>
      </c>
      <c r="L36" s="23" t="s">
        <v>79</v>
      </c>
    </row>
    <row r="37" spans="1:12" ht="49.5" customHeight="1" x14ac:dyDescent="0.35">
      <c r="A37" s="27" t="s">
        <v>737</v>
      </c>
      <c r="B37" s="23" t="s">
        <v>1472</v>
      </c>
      <c r="C37" s="27">
        <v>4</v>
      </c>
      <c r="D37" s="27" t="s">
        <v>237</v>
      </c>
      <c r="E37" s="23" t="s">
        <v>1497</v>
      </c>
      <c r="F37" s="23" t="s">
        <v>1498</v>
      </c>
      <c r="G37" s="23" t="s">
        <v>1499</v>
      </c>
      <c r="H37" s="23" t="s">
        <v>1500</v>
      </c>
      <c r="I37" s="23" t="s">
        <v>1501</v>
      </c>
      <c r="J37" s="23" t="s">
        <v>1502</v>
      </c>
      <c r="K37" s="23" t="s">
        <v>143</v>
      </c>
      <c r="L37" s="23" t="s">
        <v>79</v>
      </c>
    </row>
    <row r="38" spans="1:12" ht="49.5" customHeight="1" x14ac:dyDescent="0.35">
      <c r="A38" s="28" t="s">
        <v>737</v>
      </c>
      <c r="B38" s="23" t="s">
        <v>1472</v>
      </c>
      <c r="C38" s="28">
        <v>5</v>
      </c>
      <c r="D38" s="28" t="s">
        <v>241</v>
      </c>
      <c r="E38" s="23" t="s">
        <v>1503</v>
      </c>
      <c r="F38" s="23" t="s">
        <v>1504</v>
      </c>
      <c r="G38" s="23" t="s">
        <v>1505</v>
      </c>
      <c r="H38" s="23" t="s">
        <v>1506</v>
      </c>
      <c r="I38" s="23" t="s">
        <v>1507</v>
      </c>
      <c r="J38" s="23" t="s">
        <v>1364</v>
      </c>
      <c r="K38" s="23" t="s">
        <v>143</v>
      </c>
      <c r="L38" s="23" t="s">
        <v>79</v>
      </c>
    </row>
    <row r="39" spans="1:12" ht="49.5" customHeight="1" x14ac:dyDescent="0.35">
      <c r="A39" s="22" t="s">
        <v>747</v>
      </c>
      <c r="B39" s="23" t="s">
        <v>1508</v>
      </c>
      <c r="C39" s="22">
        <v>0</v>
      </c>
      <c r="D39" s="22" t="s">
        <v>221</v>
      </c>
      <c r="E39" s="23" t="s">
        <v>1509</v>
      </c>
      <c r="F39" s="23" t="s">
        <v>1510</v>
      </c>
      <c r="G39" s="23" t="s">
        <v>1511</v>
      </c>
      <c r="H39" s="23" t="s">
        <v>1512</v>
      </c>
      <c r="I39" s="23" t="s">
        <v>1513</v>
      </c>
      <c r="J39" s="23" t="s">
        <v>1514</v>
      </c>
      <c r="K39" s="23" t="s">
        <v>143</v>
      </c>
      <c r="L39" s="23" t="s">
        <v>79</v>
      </c>
    </row>
    <row r="40" spans="1:12" ht="49.5" customHeight="1" x14ac:dyDescent="0.35">
      <c r="A40" s="24" t="s">
        <v>747</v>
      </c>
      <c r="B40" s="23" t="s">
        <v>1508</v>
      </c>
      <c r="C40" s="24">
        <v>1</v>
      </c>
      <c r="D40" s="24" t="s">
        <v>225</v>
      </c>
      <c r="E40" s="23" t="s">
        <v>1515</v>
      </c>
      <c r="F40" s="23" t="s">
        <v>1516</v>
      </c>
      <c r="G40" s="23" t="s">
        <v>1517</v>
      </c>
      <c r="H40" s="23" t="s">
        <v>1518</v>
      </c>
      <c r="I40" s="23" t="s">
        <v>1519</v>
      </c>
      <c r="J40" s="23" t="s">
        <v>1520</v>
      </c>
      <c r="K40" s="23" t="s">
        <v>143</v>
      </c>
      <c r="L40" s="23" t="s">
        <v>79</v>
      </c>
    </row>
    <row r="41" spans="1:12" ht="49.5" customHeight="1" x14ac:dyDescent="0.35">
      <c r="A41" s="25" t="s">
        <v>747</v>
      </c>
      <c r="B41" s="23" t="s">
        <v>1508</v>
      </c>
      <c r="C41" s="25">
        <v>2</v>
      </c>
      <c r="D41" s="25" t="s">
        <v>229</v>
      </c>
      <c r="E41" s="23" t="s">
        <v>1521</v>
      </c>
      <c r="F41" s="23" t="s">
        <v>1522</v>
      </c>
      <c r="G41" s="23" t="s">
        <v>1523</v>
      </c>
      <c r="H41" s="23" t="s">
        <v>1524</v>
      </c>
      <c r="I41" s="23" t="s">
        <v>1525</v>
      </c>
      <c r="J41" s="23" t="s">
        <v>1526</v>
      </c>
      <c r="K41" s="23" t="s">
        <v>143</v>
      </c>
      <c r="L41" s="23" t="s">
        <v>79</v>
      </c>
    </row>
    <row r="42" spans="1:12" ht="49.5" customHeight="1" x14ac:dyDescent="0.35">
      <c r="A42" s="26" t="s">
        <v>747</v>
      </c>
      <c r="B42" s="3" t="s">
        <v>1508</v>
      </c>
      <c r="C42" s="26">
        <v>3</v>
      </c>
      <c r="D42" s="26" t="s">
        <v>233</v>
      </c>
      <c r="E42" s="3" t="s">
        <v>1527</v>
      </c>
      <c r="F42" s="3" t="s">
        <v>1528</v>
      </c>
      <c r="G42" s="3" t="s">
        <v>1529</v>
      </c>
      <c r="H42" s="3" t="s">
        <v>1530</v>
      </c>
      <c r="I42" s="3" t="s">
        <v>1531</v>
      </c>
      <c r="J42" s="3" t="s">
        <v>1532</v>
      </c>
      <c r="K42" s="3" t="s">
        <v>143</v>
      </c>
      <c r="L42" s="3" t="s">
        <v>79</v>
      </c>
    </row>
    <row r="43" spans="1:12" ht="49.5" customHeight="1" x14ac:dyDescent="0.35">
      <c r="A43" s="27" t="s">
        <v>747</v>
      </c>
      <c r="B43" s="3" t="s">
        <v>1508</v>
      </c>
      <c r="C43" s="27">
        <v>4</v>
      </c>
      <c r="D43" s="27" t="s">
        <v>237</v>
      </c>
      <c r="E43" s="3" t="s">
        <v>1533</v>
      </c>
      <c r="F43" s="3" t="s">
        <v>1534</v>
      </c>
      <c r="G43" s="3" t="s">
        <v>1535</v>
      </c>
      <c r="H43" s="3" t="s">
        <v>1536</v>
      </c>
      <c r="I43" s="3" t="s">
        <v>1537</v>
      </c>
      <c r="J43" s="3" t="s">
        <v>1538</v>
      </c>
      <c r="K43" s="3" t="s">
        <v>143</v>
      </c>
      <c r="L43" s="3" t="s">
        <v>79</v>
      </c>
    </row>
    <row r="44" spans="1:12" ht="49.5" customHeight="1" x14ac:dyDescent="0.35">
      <c r="A44" s="28" t="s">
        <v>747</v>
      </c>
      <c r="B44" s="3" t="s">
        <v>1508</v>
      </c>
      <c r="C44" s="28">
        <v>5</v>
      </c>
      <c r="D44" s="28" t="s">
        <v>241</v>
      </c>
      <c r="E44" s="3" t="s">
        <v>1539</v>
      </c>
      <c r="F44" s="3" t="s">
        <v>1540</v>
      </c>
      <c r="G44" s="3" t="s">
        <v>1541</v>
      </c>
      <c r="H44" s="3" t="s">
        <v>1542</v>
      </c>
      <c r="I44" s="3" t="s">
        <v>1543</v>
      </c>
      <c r="J44" s="3" t="s">
        <v>1544</v>
      </c>
      <c r="K44" s="3" t="s">
        <v>143</v>
      </c>
      <c r="L44" s="3" t="s">
        <v>79</v>
      </c>
    </row>
    <row r="45" spans="1:12" ht="49.5" customHeight="1" x14ac:dyDescent="0.35">
      <c r="A45" s="22" t="s">
        <v>758</v>
      </c>
      <c r="B45" s="3" t="s">
        <v>1545</v>
      </c>
      <c r="C45" s="22">
        <v>0</v>
      </c>
      <c r="D45" s="22" t="s">
        <v>221</v>
      </c>
      <c r="E45" s="3" t="s">
        <v>1546</v>
      </c>
      <c r="F45" s="3" t="s">
        <v>1547</v>
      </c>
      <c r="G45" s="3" t="s">
        <v>1511</v>
      </c>
      <c r="H45" s="3" t="s">
        <v>1548</v>
      </c>
      <c r="I45" s="3" t="s">
        <v>1513</v>
      </c>
      <c r="J45" s="3" t="s">
        <v>1549</v>
      </c>
      <c r="K45" s="3" t="s">
        <v>143</v>
      </c>
      <c r="L45" s="3" t="s">
        <v>79</v>
      </c>
    </row>
    <row r="46" spans="1:12" ht="49.5" customHeight="1" x14ac:dyDescent="0.35">
      <c r="A46" s="24" t="s">
        <v>758</v>
      </c>
      <c r="B46" s="3" t="s">
        <v>1545</v>
      </c>
      <c r="C46" s="24">
        <v>1</v>
      </c>
      <c r="D46" s="24" t="s">
        <v>225</v>
      </c>
      <c r="E46" s="3" t="s">
        <v>1550</v>
      </c>
      <c r="F46" s="3" t="s">
        <v>1551</v>
      </c>
      <c r="G46" s="3" t="s">
        <v>1517</v>
      </c>
      <c r="H46" s="3" t="s">
        <v>1518</v>
      </c>
      <c r="I46" s="3" t="s">
        <v>1519</v>
      </c>
      <c r="J46" s="3" t="s">
        <v>1552</v>
      </c>
      <c r="K46" s="3" t="s">
        <v>143</v>
      </c>
      <c r="L46" s="3" t="s">
        <v>79</v>
      </c>
    </row>
    <row r="47" spans="1:12" ht="49.5" customHeight="1" x14ac:dyDescent="0.35">
      <c r="A47" s="25" t="s">
        <v>758</v>
      </c>
      <c r="B47" s="3" t="s">
        <v>1545</v>
      </c>
      <c r="C47" s="25">
        <v>2</v>
      </c>
      <c r="D47" s="25" t="s">
        <v>229</v>
      </c>
      <c r="E47" s="3" t="s">
        <v>1553</v>
      </c>
      <c r="F47" s="3" t="s">
        <v>1554</v>
      </c>
      <c r="G47" s="3" t="s">
        <v>1523</v>
      </c>
      <c r="H47" s="3" t="s">
        <v>1524</v>
      </c>
      <c r="I47" s="3" t="s">
        <v>1525</v>
      </c>
      <c r="J47" s="3" t="s">
        <v>1526</v>
      </c>
      <c r="K47" s="3" t="s">
        <v>143</v>
      </c>
      <c r="L47" s="3" t="s">
        <v>79</v>
      </c>
    </row>
    <row r="48" spans="1:12" ht="49.5" customHeight="1" x14ac:dyDescent="0.35">
      <c r="A48" s="26" t="s">
        <v>758</v>
      </c>
      <c r="B48" s="23" t="s">
        <v>1545</v>
      </c>
      <c r="C48" s="26">
        <v>3</v>
      </c>
      <c r="D48" s="26" t="s">
        <v>233</v>
      </c>
      <c r="E48" s="23" t="s">
        <v>1555</v>
      </c>
      <c r="F48" s="23" t="s">
        <v>1556</v>
      </c>
      <c r="G48" s="23" t="s">
        <v>1529</v>
      </c>
      <c r="H48" s="23" t="s">
        <v>1530</v>
      </c>
      <c r="I48" s="23" t="s">
        <v>1531</v>
      </c>
      <c r="J48" s="23" t="s">
        <v>1532</v>
      </c>
      <c r="K48" s="23" t="s">
        <v>143</v>
      </c>
      <c r="L48" s="23" t="s">
        <v>79</v>
      </c>
    </row>
    <row r="49" spans="1:12" ht="49.5" customHeight="1" x14ac:dyDescent="0.35">
      <c r="A49" s="27" t="s">
        <v>758</v>
      </c>
      <c r="B49" s="23" t="s">
        <v>1545</v>
      </c>
      <c r="C49" s="27">
        <v>4</v>
      </c>
      <c r="D49" s="27" t="s">
        <v>237</v>
      </c>
      <c r="E49" s="23" t="s">
        <v>1557</v>
      </c>
      <c r="F49" s="23" t="s">
        <v>1558</v>
      </c>
      <c r="G49" s="23" t="s">
        <v>1535</v>
      </c>
      <c r="H49" s="23" t="s">
        <v>1536</v>
      </c>
      <c r="I49" s="23" t="s">
        <v>1537</v>
      </c>
      <c r="J49" s="23" t="s">
        <v>1538</v>
      </c>
      <c r="K49" s="23" t="s">
        <v>143</v>
      </c>
      <c r="L49" s="23" t="s">
        <v>79</v>
      </c>
    </row>
    <row r="50" spans="1:12" ht="49.5" customHeight="1" x14ac:dyDescent="0.35">
      <c r="A50" s="28" t="s">
        <v>758</v>
      </c>
      <c r="B50" s="23" t="s">
        <v>1545</v>
      </c>
      <c r="C50" s="28">
        <v>5</v>
      </c>
      <c r="D50" s="28" t="s">
        <v>241</v>
      </c>
      <c r="E50" s="23" t="s">
        <v>1559</v>
      </c>
      <c r="F50" s="23" t="s">
        <v>1560</v>
      </c>
      <c r="G50" s="23" t="s">
        <v>1541</v>
      </c>
      <c r="H50" s="23" t="s">
        <v>1542</v>
      </c>
      <c r="I50" s="23" t="s">
        <v>1543</v>
      </c>
      <c r="J50" s="23" t="s">
        <v>1544</v>
      </c>
      <c r="K50" s="23" t="s">
        <v>143</v>
      </c>
      <c r="L50" s="23" t="s">
        <v>79</v>
      </c>
    </row>
    <row r="51" spans="1:12" ht="49.5" customHeight="1" x14ac:dyDescent="0.35">
      <c r="A51" s="22" t="s">
        <v>769</v>
      </c>
      <c r="B51" s="23" t="s">
        <v>1561</v>
      </c>
      <c r="C51" s="22">
        <v>0</v>
      </c>
      <c r="D51" s="22" t="s">
        <v>221</v>
      </c>
      <c r="E51" s="23" t="s">
        <v>1562</v>
      </c>
      <c r="F51" s="23" t="s">
        <v>1563</v>
      </c>
      <c r="G51" s="23" t="s">
        <v>1511</v>
      </c>
      <c r="H51" s="23" t="s">
        <v>1564</v>
      </c>
      <c r="I51" s="23" t="s">
        <v>1513</v>
      </c>
      <c r="J51" s="23" t="s">
        <v>1565</v>
      </c>
      <c r="K51" s="23" t="s">
        <v>143</v>
      </c>
      <c r="L51" s="23" t="s">
        <v>79</v>
      </c>
    </row>
    <row r="52" spans="1:12" ht="49.5" customHeight="1" x14ac:dyDescent="0.35">
      <c r="A52" s="24" t="s">
        <v>769</v>
      </c>
      <c r="B52" s="23" t="s">
        <v>1561</v>
      </c>
      <c r="C52" s="24">
        <v>1</v>
      </c>
      <c r="D52" s="24" t="s">
        <v>225</v>
      </c>
      <c r="E52" s="23" t="s">
        <v>1566</v>
      </c>
      <c r="F52" s="23" t="s">
        <v>1567</v>
      </c>
      <c r="G52" s="23" t="s">
        <v>1517</v>
      </c>
      <c r="H52" s="23" t="s">
        <v>1518</v>
      </c>
      <c r="I52" s="23" t="s">
        <v>1519</v>
      </c>
      <c r="J52" s="23" t="s">
        <v>1568</v>
      </c>
      <c r="K52" s="23" t="s">
        <v>143</v>
      </c>
      <c r="L52" s="23" t="s">
        <v>79</v>
      </c>
    </row>
    <row r="53" spans="1:12" ht="49.5" customHeight="1" x14ac:dyDescent="0.35">
      <c r="A53" s="25" t="s">
        <v>769</v>
      </c>
      <c r="B53" s="23" t="s">
        <v>1561</v>
      </c>
      <c r="C53" s="25">
        <v>2</v>
      </c>
      <c r="D53" s="25" t="s">
        <v>229</v>
      </c>
      <c r="E53" s="23" t="s">
        <v>1569</v>
      </c>
      <c r="F53" s="23" t="s">
        <v>1570</v>
      </c>
      <c r="G53" s="23" t="s">
        <v>1523</v>
      </c>
      <c r="H53" s="23" t="s">
        <v>1524</v>
      </c>
      <c r="I53" s="23" t="s">
        <v>1525</v>
      </c>
      <c r="J53" s="23" t="s">
        <v>1526</v>
      </c>
      <c r="K53" s="23" t="s">
        <v>143</v>
      </c>
      <c r="L53" s="23" t="s">
        <v>79</v>
      </c>
    </row>
    <row r="54" spans="1:12" ht="49.5" customHeight="1" x14ac:dyDescent="0.35">
      <c r="A54" s="26" t="s">
        <v>769</v>
      </c>
      <c r="B54" s="3" t="s">
        <v>1561</v>
      </c>
      <c r="C54" s="26">
        <v>3</v>
      </c>
      <c r="D54" s="26" t="s">
        <v>233</v>
      </c>
      <c r="E54" s="3" t="s">
        <v>1571</v>
      </c>
      <c r="F54" s="3" t="s">
        <v>1572</v>
      </c>
      <c r="G54" s="3" t="s">
        <v>1529</v>
      </c>
      <c r="H54" s="3" t="s">
        <v>1530</v>
      </c>
      <c r="I54" s="3" t="s">
        <v>1531</v>
      </c>
      <c r="J54" s="3" t="s">
        <v>1532</v>
      </c>
      <c r="K54" s="3" t="s">
        <v>143</v>
      </c>
      <c r="L54" s="3" t="s">
        <v>79</v>
      </c>
    </row>
    <row r="55" spans="1:12" ht="49.5" customHeight="1" x14ac:dyDescent="0.35">
      <c r="A55" s="27" t="s">
        <v>769</v>
      </c>
      <c r="B55" s="3" t="s">
        <v>1561</v>
      </c>
      <c r="C55" s="27">
        <v>4</v>
      </c>
      <c r="D55" s="27" t="s">
        <v>237</v>
      </c>
      <c r="E55" s="3" t="s">
        <v>1573</v>
      </c>
      <c r="F55" s="3" t="s">
        <v>1574</v>
      </c>
      <c r="G55" s="3" t="s">
        <v>1535</v>
      </c>
      <c r="H55" s="3" t="s">
        <v>1536</v>
      </c>
      <c r="I55" s="3" t="s">
        <v>1537</v>
      </c>
      <c r="J55" s="3" t="s">
        <v>1538</v>
      </c>
      <c r="K55" s="3" t="s">
        <v>143</v>
      </c>
      <c r="L55" s="3" t="s">
        <v>79</v>
      </c>
    </row>
    <row r="56" spans="1:12" ht="49.5" customHeight="1" x14ac:dyDescent="0.35">
      <c r="A56" s="28" t="s">
        <v>769</v>
      </c>
      <c r="B56" s="3" t="s">
        <v>1561</v>
      </c>
      <c r="C56" s="28">
        <v>5</v>
      </c>
      <c r="D56" s="28" t="s">
        <v>241</v>
      </c>
      <c r="E56" s="3" t="s">
        <v>1575</v>
      </c>
      <c r="F56" s="3" t="s">
        <v>1576</v>
      </c>
      <c r="G56" s="3" t="s">
        <v>1541</v>
      </c>
      <c r="H56" s="3" t="s">
        <v>1542</v>
      </c>
      <c r="I56" s="3" t="s">
        <v>1543</v>
      </c>
      <c r="J56" s="3" t="s">
        <v>1544</v>
      </c>
      <c r="K56" s="3" t="s">
        <v>143</v>
      </c>
      <c r="L56" s="3" t="s">
        <v>79</v>
      </c>
    </row>
    <row r="57" spans="1:12" ht="49.5" customHeight="1" x14ac:dyDescent="0.35">
      <c r="A57" s="22" t="s">
        <v>778</v>
      </c>
      <c r="B57" s="3" t="s">
        <v>1577</v>
      </c>
      <c r="C57" s="22">
        <v>0</v>
      </c>
      <c r="D57" s="22" t="s">
        <v>221</v>
      </c>
      <c r="E57" s="3" t="s">
        <v>1578</v>
      </c>
      <c r="F57" s="3" t="s">
        <v>1579</v>
      </c>
      <c r="G57" s="3" t="s">
        <v>1511</v>
      </c>
      <c r="H57" s="3" t="s">
        <v>1580</v>
      </c>
      <c r="I57" s="3" t="s">
        <v>1513</v>
      </c>
      <c r="J57" s="3" t="s">
        <v>1581</v>
      </c>
      <c r="K57" s="3" t="s">
        <v>143</v>
      </c>
      <c r="L57" s="3" t="s">
        <v>79</v>
      </c>
    </row>
    <row r="58" spans="1:12" ht="49.5" customHeight="1" x14ac:dyDescent="0.35">
      <c r="A58" s="24" t="s">
        <v>778</v>
      </c>
      <c r="B58" s="3" t="s">
        <v>1577</v>
      </c>
      <c r="C58" s="24">
        <v>1</v>
      </c>
      <c r="D58" s="24" t="s">
        <v>225</v>
      </c>
      <c r="E58" s="3" t="s">
        <v>1582</v>
      </c>
      <c r="F58" s="3" t="s">
        <v>1583</v>
      </c>
      <c r="G58" s="3" t="s">
        <v>1517</v>
      </c>
      <c r="H58" s="3" t="s">
        <v>1518</v>
      </c>
      <c r="I58" s="3" t="s">
        <v>1519</v>
      </c>
      <c r="J58" s="3" t="s">
        <v>1584</v>
      </c>
      <c r="K58" s="3" t="s">
        <v>143</v>
      </c>
      <c r="L58" s="3" t="s">
        <v>79</v>
      </c>
    </row>
    <row r="59" spans="1:12" ht="49.5" customHeight="1" x14ac:dyDescent="0.35">
      <c r="A59" s="25" t="s">
        <v>778</v>
      </c>
      <c r="B59" s="3" t="s">
        <v>1577</v>
      </c>
      <c r="C59" s="25">
        <v>2</v>
      </c>
      <c r="D59" s="25" t="s">
        <v>229</v>
      </c>
      <c r="E59" s="3" t="s">
        <v>1585</v>
      </c>
      <c r="F59" s="3" t="s">
        <v>1586</v>
      </c>
      <c r="G59" s="3" t="s">
        <v>1523</v>
      </c>
      <c r="H59" s="3" t="s">
        <v>1524</v>
      </c>
      <c r="I59" s="3" t="s">
        <v>1525</v>
      </c>
      <c r="J59" s="3" t="s">
        <v>1526</v>
      </c>
      <c r="K59" s="3" t="s">
        <v>143</v>
      </c>
      <c r="L59" s="3" t="s">
        <v>79</v>
      </c>
    </row>
    <row r="60" spans="1:12" ht="49.5" customHeight="1" x14ac:dyDescent="0.35">
      <c r="A60" s="26" t="s">
        <v>778</v>
      </c>
      <c r="B60" s="23" t="s">
        <v>1577</v>
      </c>
      <c r="C60" s="26">
        <v>3</v>
      </c>
      <c r="D60" s="26" t="s">
        <v>233</v>
      </c>
      <c r="E60" s="23" t="s">
        <v>1587</v>
      </c>
      <c r="F60" s="23" t="s">
        <v>1588</v>
      </c>
      <c r="G60" s="23" t="s">
        <v>1529</v>
      </c>
      <c r="H60" s="23" t="s">
        <v>1530</v>
      </c>
      <c r="I60" s="23" t="s">
        <v>1531</v>
      </c>
      <c r="J60" s="23" t="s">
        <v>1532</v>
      </c>
      <c r="K60" s="23" t="s">
        <v>143</v>
      </c>
      <c r="L60" s="23" t="s">
        <v>79</v>
      </c>
    </row>
    <row r="61" spans="1:12" ht="49.5" customHeight="1" x14ac:dyDescent="0.35">
      <c r="A61" s="27" t="s">
        <v>778</v>
      </c>
      <c r="B61" s="23" t="s">
        <v>1577</v>
      </c>
      <c r="C61" s="27">
        <v>4</v>
      </c>
      <c r="D61" s="27" t="s">
        <v>237</v>
      </c>
      <c r="E61" s="23" t="s">
        <v>1589</v>
      </c>
      <c r="F61" s="23" t="s">
        <v>1590</v>
      </c>
      <c r="G61" s="23" t="s">
        <v>1535</v>
      </c>
      <c r="H61" s="23" t="s">
        <v>1536</v>
      </c>
      <c r="I61" s="23" t="s">
        <v>1537</v>
      </c>
      <c r="J61" s="23" t="s">
        <v>1538</v>
      </c>
      <c r="K61" s="23" t="s">
        <v>143</v>
      </c>
      <c r="L61" s="23" t="s">
        <v>79</v>
      </c>
    </row>
    <row r="62" spans="1:12" ht="49.5" customHeight="1" x14ac:dyDescent="0.35">
      <c r="A62" s="28" t="s">
        <v>778</v>
      </c>
      <c r="B62" s="23" t="s">
        <v>1577</v>
      </c>
      <c r="C62" s="28">
        <v>5</v>
      </c>
      <c r="D62" s="28" t="s">
        <v>241</v>
      </c>
      <c r="E62" s="23" t="s">
        <v>1591</v>
      </c>
      <c r="F62" s="23" t="s">
        <v>1592</v>
      </c>
      <c r="G62" s="23" t="s">
        <v>1541</v>
      </c>
      <c r="H62" s="23" t="s">
        <v>1542</v>
      </c>
      <c r="I62" s="23" t="s">
        <v>1543</v>
      </c>
      <c r="J62" s="23" t="s">
        <v>1544</v>
      </c>
      <c r="K62" s="23" t="s">
        <v>143</v>
      </c>
      <c r="L62" s="23" t="s">
        <v>79</v>
      </c>
    </row>
    <row r="63" spans="1:12" ht="49.5" customHeight="1" x14ac:dyDescent="0.35">
      <c r="A63" s="22" t="s">
        <v>789</v>
      </c>
      <c r="B63" s="23" t="s">
        <v>1593</v>
      </c>
      <c r="C63" s="22">
        <v>0</v>
      </c>
      <c r="D63" s="22" t="s">
        <v>221</v>
      </c>
      <c r="E63" s="23" t="s">
        <v>1594</v>
      </c>
      <c r="F63" s="23" t="s">
        <v>1595</v>
      </c>
      <c r="G63" s="23" t="s">
        <v>1511</v>
      </c>
      <c r="H63" s="23" t="s">
        <v>1596</v>
      </c>
      <c r="I63" s="23" t="s">
        <v>1513</v>
      </c>
      <c r="J63" s="23" t="s">
        <v>1597</v>
      </c>
      <c r="K63" s="23" t="s">
        <v>143</v>
      </c>
      <c r="L63" s="23" t="s">
        <v>79</v>
      </c>
    </row>
    <row r="64" spans="1:12" ht="49.5" customHeight="1" x14ac:dyDescent="0.35">
      <c r="A64" s="24" t="s">
        <v>789</v>
      </c>
      <c r="B64" s="23" t="s">
        <v>1593</v>
      </c>
      <c r="C64" s="24">
        <v>1</v>
      </c>
      <c r="D64" s="24" t="s">
        <v>225</v>
      </c>
      <c r="E64" s="23" t="s">
        <v>1598</v>
      </c>
      <c r="F64" s="23" t="s">
        <v>1599</v>
      </c>
      <c r="G64" s="23" t="s">
        <v>1517</v>
      </c>
      <c r="H64" s="23" t="s">
        <v>1518</v>
      </c>
      <c r="I64" s="23" t="s">
        <v>1519</v>
      </c>
      <c r="J64" s="23" t="s">
        <v>1600</v>
      </c>
      <c r="K64" s="23" t="s">
        <v>143</v>
      </c>
      <c r="L64" s="23" t="s">
        <v>79</v>
      </c>
    </row>
    <row r="65" spans="1:12" ht="49.5" customHeight="1" x14ac:dyDescent="0.35">
      <c r="A65" s="25" t="s">
        <v>789</v>
      </c>
      <c r="B65" s="23" t="s">
        <v>1593</v>
      </c>
      <c r="C65" s="25">
        <v>2</v>
      </c>
      <c r="D65" s="25" t="s">
        <v>229</v>
      </c>
      <c r="E65" s="23" t="s">
        <v>1601</v>
      </c>
      <c r="F65" s="23" t="s">
        <v>1602</v>
      </c>
      <c r="G65" s="23" t="s">
        <v>1523</v>
      </c>
      <c r="H65" s="23" t="s">
        <v>1524</v>
      </c>
      <c r="I65" s="23" t="s">
        <v>1525</v>
      </c>
      <c r="J65" s="23" t="s">
        <v>1526</v>
      </c>
      <c r="K65" s="23" t="s">
        <v>143</v>
      </c>
      <c r="L65" s="23" t="s">
        <v>79</v>
      </c>
    </row>
    <row r="66" spans="1:12" ht="49.5" customHeight="1" x14ac:dyDescent="0.35">
      <c r="A66" s="26" t="s">
        <v>789</v>
      </c>
      <c r="B66" s="3" t="s">
        <v>1593</v>
      </c>
      <c r="C66" s="26">
        <v>3</v>
      </c>
      <c r="D66" s="26" t="s">
        <v>233</v>
      </c>
      <c r="E66" s="3" t="s">
        <v>1603</v>
      </c>
      <c r="F66" s="3" t="s">
        <v>1604</v>
      </c>
      <c r="G66" s="3" t="s">
        <v>1529</v>
      </c>
      <c r="H66" s="3" t="s">
        <v>1530</v>
      </c>
      <c r="I66" s="3" t="s">
        <v>1531</v>
      </c>
      <c r="J66" s="3" t="s">
        <v>1532</v>
      </c>
      <c r="K66" s="3" t="s">
        <v>143</v>
      </c>
      <c r="L66" s="3" t="s">
        <v>79</v>
      </c>
    </row>
    <row r="67" spans="1:12" ht="49.5" customHeight="1" x14ac:dyDescent="0.35">
      <c r="A67" s="27" t="s">
        <v>789</v>
      </c>
      <c r="B67" s="3" t="s">
        <v>1593</v>
      </c>
      <c r="C67" s="27">
        <v>4</v>
      </c>
      <c r="D67" s="27" t="s">
        <v>237</v>
      </c>
      <c r="E67" s="3" t="s">
        <v>1605</v>
      </c>
      <c r="F67" s="3" t="s">
        <v>1606</v>
      </c>
      <c r="G67" s="3" t="s">
        <v>1535</v>
      </c>
      <c r="H67" s="3" t="s">
        <v>1536</v>
      </c>
      <c r="I67" s="3" t="s">
        <v>1537</v>
      </c>
      <c r="J67" s="3" t="s">
        <v>1538</v>
      </c>
      <c r="K67" s="3" t="s">
        <v>143</v>
      </c>
      <c r="L67" s="3" t="s">
        <v>79</v>
      </c>
    </row>
    <row r="68" spans="1:12" ht="49.5" customHeight="1" x14ac:dyDescent="0.35">
      <c r="A68" s="28" t="s">
        <v>789</v>
      </c>
      <c r="B68" s="3" t="s">
        <v>1593</v>
      </c>
      <c r="C68" s="28">
        <v>5</v>
      </c>
      <c r="D68" s="28" t="s">
        <v>241</v>
      </c>
      <c r="E68" s="3" t="s">
        <v>1607</v>
      </c>
      <c r="F68" s="3" t="s">
        <v>1608</v>
      </c>
      <c r="G68" s="3" t="s">
        <v>1541</v>
      </c>
      <c r="H68" s="3" t="s">
        <v>1542</v>
      </c>
      <c r="I68" s="3" t="s">
        <v>1543</v>
      </c>
      <c r="J68" s="3" t="s">
        <v>1544</v>
      </c>
      <c r="K68" s="3" t="s">
        <v>143</v>
      </c>
      <c r="L68" s="3" t="s">
        <v>79</v>
      </c>
    </row>
    <row r="69" spans="1:12" ht="49.5" customHeight="1" x14ac:dyDescent="0.35">
      <c r="A69" s="22" t="s">
        <v>800</v>
      </c>
      <c r="B69" s="3" t="s">
        <v>1609</v>
      </c>
      <c r="C69" s="22">
        <v>0</v>
      </c>
      <c r="D69" s="22" t="s">
        <v>221</v>
      </c>
      <c r="E69" s="3" t="s">
        <v>1610</v>
      </c>
      <c r="F69" s="3" t="s">
        <v>1611</v>
      </c>
      <c r="G69" s="3" t="s">
        <v>1511</v>
      </c>
      <c r="H69" s="3" t="s">
        <v>1612</v>
      </c>
      <c r="I69" s="3" t="s">
        <v>1513</v>
      </c>
      <c r="J69" s="3" t="s">
        <v>1613</v>
      </c>
      <c r="K69" s="3" t="s">
        <v>143</v>
      </c>
      <c r="L69" s="3" t="s">
        <v>79</v>
      </c>
    </row>
    <row r="70" spans="1:12" ht="49.5" customHeight="1" x14ac:dyDescent="0.35">
      <c r="A70" s="24" t="s">
        <v>800</v>
      </c>
      <c r="B70" s="3" t="s">
        <v>1609</v>
      </c>
      <c r="C70" s="24">
        <v>1</v>
      </c>
      <c r="D70" s="24" t="s">
        <v>225</v>
      </c>
      <c r="E70" s="3" t="s">
        <v>1614</v>
      </c>
      <c r="F70" s="3" t="s">
        <v>1615</v>
      </c>
      <c r="G70" s="3" t="s">
        <v>1517</v>
      </c>
      <c r="H70" s="3" t="s">
        <v>1518</v>
      </c>
      <c r="I70" s="3" t="s">
        <v>1519</v>
      </c>
      <c r="J70" s="3" t="s">
        <v>1616</v>
      </c>
      <c r="K70" s="3" t="s">
        <v>143</v>
      </c>
      <c r="L70" s="3" t="s">
        <v>79</v>
      </c>
    </row>
    <row r="71" spans="1:12" ht="49.5" customHeight="1" x14ac:dyDescent="0.35">
      <c r="A71" s="25" t="s">
        <v>800</v>
      </c>
      <c r="B71" s="3" t="s">
        <v>1609</v>
      </c>
      <c r="C71" s="25">
        <v>2</v>
      </c>
      <c r="D71" s="25" t="s">
        <v>229</v>
      </c>
      <c r="E71" s="3" t="s">
        <v>1617</v>
      </c>
      <c r="F71" s="3" t="s">
        <v>1618</v>
      </c>
      <c r="G71" s="3" t="s">
        <v>1523</v>
      </c>
      <c r="H71" s="3" t="s">
        <v>1524</v>
      </c>
      <c r="I71" s="3" t="s">
        <v>1525</v>
      </c>
      <c r="J71" s="3" t="s">
        <v>1526</v>
      </c>
      <c r="K71" s="3" t="s">
        <v>143</v>
      </c>
      <c r="L71" s="3" t="s">
        <v>79</v>
      </c>
    </row>
    <row r="72" spans="1:12" ht="49.5" customHeight="1" x14ac:dyDescent="0.35">
      <c r="A72" s="26" t="s">
        <v>800</v>
      </c>
      <c r="B72" s="23" t="s">
        <v>1609</v>
      </c>
      <c r="C72" s="26">
        <v>3</v>
      </c>
      <c r="D72" s="26" t="s">
        <v>233</v>
      </c>
      <c r="E72" s="23" t="s">
        <v>1619</v>
      </c>
      <c r="F72" s="23" t="s">
        <v>1620</v>
      </c>
      <c r="G72" s="23" t="s">
        <v>1529</v>
      </c>
      <c r="H72" s="23" t="s">
        <v>1530</v>
      </c>
      <c r="I72" s="23" t="s">
        <v>1531</v>
      </c>
      <c r="J72" s="23" t="s">
        <v>1532</v>
      </c>
      <c r="K72" s="23" t="s">
        <v>143</v>
      </c>
      <c r="L72" s="23" t="s">
        <v>79</v>
      </c>
    </row>
    <row r="73" spans="1:12" ht="49.5" customHeight="1" x14ac:dyDescent="0.35">
      <c r="A73" s="27" t="s">
        <v>800</v>
      </c>
      <c r="B73" s="23" t="s">
        <v>1609</v>
      </c>
      <c r="C73" s="27">
        <v>4</v>
      </c>
      <c r="D73" s="27" t="s">
        <v>237</v>
      </c>
      <c r="E73" s="23" t="s">
        <v>1621</v>
      </c>
      <c r="F73" s="23" t="s">
        <v>1622</v>
      </c>
      <c r="G73" s="23" t="s">
        <v>1535</v>
      </c>
      <c r="H73" s="23" t="s">
        <v>1536</v>
      </c>
      <c r="I73" s="23" t="s">
        <v>1537</v>
      </c>
      <c r="J73" s="23" t="s">
        <v>1538</v>
      </c>
      <c r="K73" s="23" t="s">
        <v>143</v>
      </c>
      <c r="L73" s="23" t="s">
        <v>79</v>
      </c>
    </row>
    <row r="74" spans="1:12" ht="49.5" customHeight="1" x14ac:dyDescent="0.35">
      <c r="A74" s="28" t="s">
        <v>800</v>
      </c>
      <c r="B74" s="23" t="s">
        <v>1609</v>
      </c>
      <c r="C74" s="28">
        <v>5</v>
      </c>
      <c r="D74" s="28" t="s">
        <v>241</v>
      </c>
      <c r="E74" s="23" t="s">
        <v>1623</v>
      </c>
      <c r="F74" s="23" t="s">
        <v>1624</v>
      </c>
      <c r="G74" s="23" t="s">
        <v>1541</v>
      </c>
      <c r="H74" s="23" t="s">
        <v>1542</v>
      </c>
      <c r="I74" s="23" t="s">
        <v>1543</v>
      </c>
      <c r="J74" s="23" t="s">
        <v>1544</v>
      </c>
      <c r="K74" s="23" t="s">
        <v>143</v>
      </c>
      <c r="L74" s="23" t="s">
        <v>79</v>
      </c>
    </row>
    <row r="75" spans="1:12" ht="49.5" customHeight="1" x14ac:dyDescent="0.35">
      <c r="A75" s="22" t="s">
        <v>810</v>
      </c>
      <c r="B75" s="23" t="s">
        <v>1625</v>
      </c>
      <c r="C75" s="22">
        <v>0</v>
      </c>
      <c r="D75" s="22" t="s">
        <v>221</v>
      </c>
      <c r="E75" s="23" t="s">
        <v>1626</v>
      </c>
      <c r="F75" s="23" t="s">
        <v>1627</v>
      </c>
      <c r="G75" s="23" t="s">
        <v>1511</v>
      </c>
      <c r="H75" s="23" t="s">
        <v>1628</v>
      </c>
      <c r="I75" s="23" t="s">
        <v>1513</v>
      </c>
      <c r="J75" s="23" t="s">
        <v>1629</v>
      </c>
      <c r="K75" s="23" t="s">
        <v>143</v>
      </c>
      <c r="L75" s="23" t="s">
        <v>79</v>
      </c>
    </row>
    <row r="76" spans="1:12" ht="49.5" customHeight="1" x14ac:dyDescent="0.35">
      <c r="A76" s="24" t="s">
        <v>810</v>
      </c>
      <c r="B76" s="23" t="s">
        <v>1625</v>
      </c>
      <c r="C76" s="24">
        <v>1</v>
      </c>
      <c r="D76" s="24" t="s">
        <v>225</v>
      </c>
      <c r="E76" s="23" t="s">
        <v>1630</v>
      </c>
      <c r="F76" s="23" t="s">
        <v>1631</v>
      </c>
      <c r="G76" s="23" t="s">
        <v>1517</v>
      </c>
      <c r="H76" s="23" t="s">
        <v>1518</v>
      </c>
      <c r="I76" s="23" t="s">
        <v>1519</v>
      </c>
      <c r="J76" s="23" t="s">
        <v>1632</v>
      </c>
      <c r="K76" s="23" t="s">
        <v>143</v>
      </c>
      <c r="L76" s="23" t="s">
        <v>79</v>
      </c>
    </row>
    <row r="77" spans="1:12" ht="49.5" customHeight="1" x14ac:dyDescent="0.35">
      <c r="A77" s="25" t="s">
        <v>810</v>
      </c>
      <c r="B77" s="23" t="s">
        <v>1625</v>
      </c>
      <c r="C77" s="25">
        <v>2</v>
      </c>
      <c r="D77" s="25" t="s">
        <v>229</v>
      </c>
      <c r="E77" s="23" t="s">
        <v>1633</v>
      </c>
      <c r="F77" s="23" t="s">
        <v>1634</v>
      </c>
      <c r="G77" s="23" t="s">
        <v>1523</v>
      </c>
      <c r="H77" s="23" t="s">
        <v>1524</v>
      </c>
      <c r="I77" s="23" t="s">
        <v>1525</v>
      </c>
      <c r="J77" s="23" t="s">
        <v>1526</v>
      </c>
      <c r="K77" s="23" t="s">
        <v>143</v>
      </c>
      <c r="L77" s="23" t="s">
        <v>79</v>
      </c>
    </row>
    <row r="78" spans="1:12" ht="49.5" customHeight="1" x14ac:dyDescent="0.35">
      <c r="A78" s="26" t="s">
        <v>810</v>
      </c>
      <c r="B78" s="3" t="s">
        <v>1625</v>
      </c>
      <c r="C78" s="26">
        <v>3</v>
      </c>
      <c r="D78" s="26" t="s">
        <v>233</v>
      </c>
      <c r="E78" s="3" t="s">
        <v>1635</v>
      </c>
      <c r="F78" s="3" t="s">
        <v>1636</v>
      </c>
      <c r="G78" s="3" t="s">
        <v>1529</v>
      </c>
      <c r="H78" s="3" t="s">
        <v>1530</v>
      </c>
      <c r="I78" s="3" t="s">
        <v>1531</v>
      </c>
      <c r="J78" s="3" t="s">
        <v>1532</v>
      </c>
      <c r="K78" s="3" t="s">
        <v>143</v>
      </c>
      <c r="L78" s="3" t="s">
        <v>79</v>
      </c>
    </row>
    <row r="79" spans="1:12" ht="49.5" customHeight="1" x14ac:dyDescent="0.35">
      <c r="A79" s="27" t="s">
        <v>810</v>
      </c>
      <c r="B79" s="3" t="s">
        <v>1625</v>
      </c>
      <c r="C79" s="27">
        <v>4</v>
      </c>
      <c r="D79" s="27" t="s">
        <v>237</v>
      </c>
      <c r="E79" s="3" t="s">
        <v>1637</v>
      </c>
      <c r="F79" s="3" t="s">
        <v>1638</v>
      </c>
      <c r="G79" s="3" t="s">
        <v>1535</v>
      </c>
      <c r="H79" s="3" t="s">
        <v>1536</v>
      </c>
      <c r="I79" s="3" t="s">
        <v>1537</v>
      </c>
      <c r="J79" s="3" t="s">
        <v>1538</v>
      </c>
      <c r="K79" s="3" t="s">
        <v>143</v>
      </c>
      <c r="L79" s="3" t="s">
        <v>79</v>
      </c>
    </row>
    <row r="80" spans="1:12" ht="49.5" customHeight="1" x14ac:dyDescent="0.35">
      <c r="A80" s="28" t="s">
        <v>810</v>
      </c>
      <c r="B80" s="3" t="s">
        <v>1625</v>
      </c>
      <c r="C80" s="28">
        <v>5</v>
      </c>
      <c r="D80" s="28" t="s">
        <v>241</v>
      </c>
      <c r="E80" s="3" t="s">
        <v>1639</v>
      </c>
      <c r="F80" s="3" t="s">
        <v>1640</v>
      </c>
      <c r="G80" s="3" t="s">
        <v>1541</v>
      </c>
      <c r="H80" s="3" t="s">
        <v>1542</v>
      </c>
      <c r="I80" s="3" t="s">
        <v>1543</v>
      </c>
      <c r="J80" s="3" t="s">
        <v>1544</v>
      </c>
      <c r="K80" s="3" t="s">
        <v>143</v>
      </c>
      <c r="L80" s="3" t="s">
        <v>79</v>
      </c>
    </row>
    <row r="81" spans="1:12" ht="49.5" customHeight="1" x14ac:dyDescent="0.35">
      <c r="A81" s="22" t="s">
        <v>819</v>
      </c>
      <c r="B81" s="3" t="s">
        <v>1641</v>
      </c>
      <c r="C81" s="22">
        <v>0</v>
      </c>
      <c r="D81" s="22" t="s">
        <v>221</v>
      </c>
      <c r="E81" s="3" t="s">
        <v>1642</v>
      </c>
      <c r="F81" s="3" t="s">
        <v>1643</v>
      </c>
      <c r="G81" s="3" t="s">
        <v>1511</v>
      </c>
      <c r="H81" s="3" t="s">
        <v>1644</v>
      </c>
      <c r="I81" s="3" t="s">
        <v>1513</v>
      </c>
      <c r="J81" s="3" t="s">
        <v>1645</v>
      </c>
      <c r="K81" s="3" t="s">
        <v>143</v>
      </c>
      <c r="L81" s="3" t="s">
        <v>79</v>
      </c>
    </row>
    <row r="82" spans="1:12" ht="49.5" customHeight="1" x14ac:dyDescent="0.35">
      <c r="A82" s="24" t="s">
        <v>819</v>
      </c>
      <c r="B82" s="3" t="s">
        <v>1641</v>
      </c>
      <c r="C82" s="24">
        <v>1</v>
      </c>
      <c r="D82" s="24" t="s">
        <v>225</v>
      </c>
      <c r="E82" s="3" t="s">
        <v>1646</v>
      </c>
      <c r="F82" s="3" t="s">
        <v>1647</v>
      </c>
      <c r="G82" s="3" t="s">
        <v>1517</v>
      </c>
      <c r="H82" s="3" t="s">
        <v>1518</v>
      </c>
      <c r="I82" s="3" t="s">
        <v>1519</v>
      </c>
      <c r="J82" s="3" t="s">
        <v>1648</v>
      </c>
      <c r="K82" s="3" t="s">
        <v>143</v>
      </c>
      <c r="L82" s="3" t="s">
        <v>79</v>
      </c>
    </row>
    <row r="83" spans="1:12" ht="49.5" customHeight="1" x14ac:dyDescent="0.35">
      <c r="A83" s="25" t="s">
        <v>819</v>
      </c>
      <c r="B83" s="3" t="s">
        <v>1641</v>
      </c>
      <c r="C83" s="25">
        <v>2</v>
      </c>
      <c r="D83" s="25" t="s">
        <v>229</v>
      </c>
      <c r="E83" s="3" t="s">
        <v>1649</v>
      </c>
      <c r="F83" s="3" t="s">
        <v>1650</v>
      </c>
      <c r="G83" s="3" t="s">
        <v>1523</v>
      </c>
      <c r="H83" s="3" t="s">
        <v>1524</v>
      </c>
      <c r="I83" s="3" t="s">
        <v>1525</v>
      </c>
      <c r="J83" s="3" t="s">
        <v>1526</v>
      </c>
      <c r="K83" s="3" t="s">
        <v>143</v>
      </c>
      <c r="L83" s="3" t="s">
        <v>79</v>
      </c>
    </row>
    <row r="84" spans="1:12" ht="49.5" customHeight="1" x14ac:dyDescent="0.35">
      <c r="A84" s="26" t="s">
        <v>819</v>
      </c>
      <c r="B84" s="23" t="s">
        <v>1641</v>
      </c>
      <c r="C84" s="26">
        <v>3</v>
      </c>
      <c r="D84" s="26" t="s">
        <v>233</v>
      </c>
      <c r="E84" s="23" t="s">
        <v>1651</v>
      </c>
      <c r="F84" s="23" t="s">
        <v>1652</v>
      </c>
      <c r="G84" s="23" t="s">
        <v>1529</v>
      </c>
      <c r="H84" s="23" t="s">
        <v>1530</v>
      </c>
      <c r="I84" s="23" t="s">
        <v>1531</v>
      </c>
      <c r="J84" s="23" t="s">
        <v>1532</v>
      </c>
      <c r="K84" s="23" t="s">
        <v>143</v>
      </c>
      <c r="L84" s="23" t="s">
        <v>79</v>
      </c>
    </row>
    <row r="85" spans="1:12" ht="49.5" customHeight="1" x14ac:dyDescent="0.35">
      <c r="A85" s="27" t="s">
        <v>819</v>
      </c>
      <c r="B85" s="23" t="s">
        <v>1641</v>
      </c>
      <c r="C85" s="27">
        <v>4</v>
      </c>
      <c r="D85" s="27" t="s">
        <v>237</v>
      </c>
      <c r="E85" s="23" t="s">
        <v>1653</v>
      </c>
      <c r="F85" s="23" t="s">
        <v>1654</v>
      </c>
      <c r="G85" s="23" t="s">
        <v>1535</v>
      </c>
      <c r="H85" s="23" t="s">
        <v>1536</v>
      </c>
      <c r="I85" s="23" t="s">
        <v>1537</v>
      </c>
      <c r="J85" s="23" t="s">
        <v>1538</v>
      </c>
      <c r="K85" s="23" t="s">
        <v>143</v>
      </c>
      <c r="L85" s="23" t="s">
        <v>79</v>
      </c>
    </row>
    <row r="86" spans="1:12" ht="49.5" customHeight="1" x14ac:dyDescent="0.35">
      <c r="A86" s="28" t="s">
        <v>819</v>
      </c>
      <c r="B86" s="23" t="s">
        <v>1641</v>
      </c>
      <c r="C86" s="28">
        <v>5</v>
      </c>
      <c r="D86" s="28" t="s">
        <v>241</v>
      </c>
      <c r="E86" s="23" t="s">
        <v>1655</v>
      </c>
      <c r="F86" s="23" t="s">
        <v>1656</v>
      </c>
      <c r="G86" s="23" t="s">
        <v>1541</v>
      </c>
      <c r="H86" s="23" t="s">
        <v>1542</v>
      </c>
      <c r="I86" s="23" t="s">
        <v>1543</v>
      </c>
      <c r="J86" s="23" t="s">
        <v>1544</v>
      </c>
      <c r="K86" s="23" t="s">
        <v>143</v>
      </c>
      <c r="L86" s="23" t="s">
        <v>79</v>
      </c>
    </row>
    <row r="87" spans="1:12" ht="49.5" customHeight="1" x14ac:dyDescent="0.35">
      <c r="A87" s="22" t="s">
        <v>829</v>
      </c>
      <c r="B87" s="23" t="s">
        <v>1657</v>
      </c>
      <c r="C87" s="22">
        <v>0</v>
      </c>
      <c r="D87" s="22" t="s">
        <v>221</v>
      </c>
      <c r="E87" s="23" t="s">
        <v>1658</v>
      </c>
      <c r="F87" s="23" t="s">
        <v>1659</v>
      </c>
      <c r="G87" s="23" t="s">
        <v>1511</v>
      </c>
      <c r="H87" s="23" t="s">
        <v>1660</v>
      </c>
      <c r="I87" s="23" t="s">
        <v>1513</v>
      </c>
      <c r="J87" s="23" t="s">
        <v>1661</v>
      </c>
      <c r="K87" s="23" t="s">
        <v>143</v>
      </c>
      <c r="L87" s="23" t="s">
        <v>79</v>
      </c>
    </row>
    <row r="88" spans="1:12" ht="49.5" customHeight="1" x14ac:dyDescent="0.35">
      <c r="A88" s="24" t="s">
        <v>829</v>
      </c>
      <c r="B88" s="23" t="s">
        <v>1657</v>
      </c>
      <c r="C88" s="24">
        <v>1</v>
      </c>
      <c r="D88" s="24" t="s">
        <v>225</v>
      </c>
      <c r="E88" s="23" t="s">
        <v>1662</v>
      </c>
      <c r="F88" s="23" t="s">
        <v>1663</v>
      </c>
      <c r="G88" s="23" t="s">
        <v>1517</v>
      </c>
      <c r="H88" s="23" t="s">
        <v>1518</v>
      </c>
      <c r="I88" s="23" t="s">
        <v>1519</v>
      </c>
      <c r="J88" s="23" t="s">
        <v>1664</v>
      </c>
      <c r="K88" s="23" t="s">
        <v>143</v>
      </c>
      <c r="L88" s="23" t="s">
        <v>79</v>
      </c>
    </row>
    <row r="89" spans="1:12" ht="49.5" customHeight="1" x14ac:dyDescent="0.35">
      <c r="A89" s="25" t="s">
        <v>829</v>
      </c>
      <c r="B89" s="23" t="s">
        <v>1657</v>
      </c>
      <c r="C89" s="25">
        <v>2</v>
      </c>
      <c r="D89" s="25" t="s">
        <v>229</v>
      </c>
      <c r="E89" s="23" t="s">
        <v>1665</v>
      </c>
      <c r="F89" s="23" t="s">
        <v>1666</v>
      </c>
      <c r="G89" s="23" t="s">
        <v>1523</v>
      </c>
      <c r="H89" s="23" t="s">
        <v>1524</v>
      </c>
      <c r="I89" s="23" t="s">
        <v>1525</v>
      </c>
      <c r="J89" s="23" t="s">
        <v>1526</v>
      </c>
      <c r="K89" s="23" t="s">
        <v>143</v>
      </c>
      <c r="L89" s="23" t="s">
        <v>79</v>
      </c>
    </row>
    <row r="90" spans="1:12" ht="49.5" customHeight="1" x14ac:dyDescent="0.35">
      <c r="A90" s="26" t="s">
        <v>829</v>
      </c>
      <c r="B90" s="3" t="s">
        <v>1657</v>
      </c>
      <c r="C90" s="26">
        <v>3</v>
      </c>
      <c r="D90" s="26" t="s">
        <v>233</v>
      </c>
      <c r="E90" s="3" t="s">
        <v>1667</v>
      </c>
      <c r="F90" s="3" t="s">
        <v>1668</v>
      </c>
      <c r="G90" s="3" t="s">
        <v>1529</v>
      </c>
      <c r="H90" s="3" t="s">
        <v>1530</v>
      </c>
      <c r="I90" s="3" t="s">
        <v>1531</v>
      </c>
      <c r="J90" s="3" t="s">
        <v>1532</v>
      </c>
      <c r="K90" s="3" t="s">
        <v>143</v>
      </c>
      <c r="L90" s="3" t="s">
        <v>79</v>
      </c>
    </row>
    <row r="91" spans="1:12" ht="49.5" customHeight="1" x14ac:dyDescent="0.35">
      <c r="A91" s="27" t="s">
        <v>829</v>
      </c>
      <c r="B91" s="3" t="s">
        <v>1657</v>
      </c>
      <c r="C91" s="27">
        <v>4</v>
      </c>
      <c r="D91" s="27" t="s">
        <v>237</v>
      </c>
      <c r="E91" s="3" t="s">
        <v>1669</v>
      </c>
      <c r="F91" s="3" t="s">
        <v>1670</v>
      </c>
      <c r="G91" s="3" t="s">
        <v>1535</v>
      </c>
      <c r="H91" s="3" t="s">
        <v>1536</v>
      </c>
      <c r="I91" s="3" t="s">
        <v>1537</v>
      </c>
      <c r="J91" s="3" t="s">
        <v>1538</v>
      </c>
      <c r="K91" s="3" t="s">
        <v>143</v>
      </c>
      <c r="L91" s="3" t="s">
        <v>79</v>
      </c>
    </row>
    <row r="92" spans="1:12" ht="49.5" customHeight="1" x14ac:dyDescent="0.35">
      <c r="A92" s="28" t="s">
        <v>829</v>
      </c>
      <c r="B92" s="3" t="s">
        <v>1657</v>
      </c>
      <c r="C92" s="28">
        <v>5</v>
      </c>
      <c r="D92" s="28" t="s">
        <v>241</v>
      </c>
      <c r="E92" s="3" t="s">
        <v>1671</v>
      </c>
      <c r="F92" s="3" t="s">
        <v>1672</v>
      </c>
      <c r="G92" s="3" t="s">
        <v>1541</v>
      </c>
      <c r="H92" s="3" t="s">
        <v>1542</v>
      </c>
      <c r="I92" s="3" t="s">
        <v>1543</v>
      </c>
      <c r="J92" s="3" t="s">
        <v>1544</v>
      </c>
      <c r="K92" s="3" t="s">
        <v>143</v>
      </c>
      <c r="L92" s="3" t="s">
        <v>79</v>
      </c>
    </row>
    <row r="93" spans="1:12" ht="49.5" customHeight="1" x14ac:dyDescent="0.35">
      <c r="A93" s="22" t="s">
        <v>840</v>
      </c>
      <c r="B93" s="3" t="s">
        <v>1673</v>
      </c>
      <c r="C93" s="22">
        <v>0</v>
      </c>
      <c r="D93" s="22" t="s">
        <v>221</v>
      </c>
      <c r="E93" s="3" t="s">
        <v>1674</v>
      </c>
      <c r="F93" s="3" t="s">
        <v>1675</v>
      </c>
      <c r="G93" s="3" t="s">
        <v>1511</v>
      </c>
      <c r="H93" s="3" t="s">
        <v>1676</v>
      </c>
      <c r="I93" s="3" t="s">
        <v>1513</v>
      </c>
      <c r="J93" s="3" t="s">
        <v>1677</v>
      </c>
      <c r="K93" s="3" t="s">
        <v>143</v>
      </c>
      <c r="L93" s="3" t="s">
        <v>79</v>
      </c>
    </row>
    <row r="94" spans="1:12" ht="49.5" customHeight="1" x14ac:dyDescent="0.35">
      <c r="A94" s="24" t="s">
        <v>840</v>
      </c>
      <c r="B94" s="3" t="s">
        <v>1673</v>
      </c>
      <c r="C94" s="24">
        <v>1</v>
      </c>
      <c r="D94" s="24" t="s">
        <v>225</v>
      </c>
      <c r="E94" s="3" t="s">
        <v>1678</v>
      </c>
      <c r="F94" s="3" t="s">
        <v>1679</v>
      </c>
      <c r="G94" s="3" t="s">
        <v>1517</v>
      </c>
      <c r="H94" s="3" t="s">
        <v>1518</v>
      </c>
      <c r="I94" s="3" t="s">
        <v>1519</v>
      </c>
      <c r="J94" s="3" t="s">
        <v>1680</v>
      </c>
      <c r="K94" s="3" t="s">
        <v>143</v>
      </c>
      <c r="L94" s="3" t="s">
        <v>79</v>
      </c>
    </row>
    <row r="95" spans="1:12" ht="49.5" customHeight="1" x14ac:dyDescent="0.35">
      <c r="A95" s="25" t="s">
        <v>840</v>
      </c>
      <c r="B95" s="3" t="s">
        <v>1673</v>
      </c>
      <c r="C95" s="25">
        <v>2</v>
      </c>
      <c r="D95" s="25" t="s">
        <v>229</v>
      </c>
      <c r="E95" s="3" t="s">
        <v>1681</v>
      </c>
      <c r="F95" s="3" t="s">
        <v>1682</v>
      </c>
      <c r="G95" s="3" t="s">
        <v>1523</v>
      </c>
      <c r="H95" s="3" t="s">
        <v>1524</v>
      </c>
      <c r="I95" s="3" t="s">
        <v>1525</v>
      </c>
      <c r="J95" s="3" t="s">
        <v>1526</v>
      </c>
      <c r="K95" s="3" t="s">
        <v>143</v>
      </c>
      <c r="L95" s="3" t="s">
        <v>79</v>
      </c>
    </row>
    <row r="96" spans="1:12" ht="49.5" customHeight="1" x14ac:dyDescent="0.35">
      <c r="A96" s="26" t="s">
        <v>840</v>
      </c>
      <c r="B96" s="23" t="s">
        <v>1673</v>
      </c>
      <c r="C96" s="26">
        <v>3</v>
      </c>
      <c r="D96" s="26" t="s">
        <v>233</v>
      </c>
      <c r="E96" s="23" t="s">
        <v>1683</v>
      </c>
      <c r="F96" s="23" t="s">
        <v>1684</v>
      </c>
      <c r="G96" s="23" t="s">
        <v>1529</v>
      </c>
      <c r="H96" s="23" t="s">
        <v>1530</v>
      </c>
      <c r="I96" s="23" t="s">
        <v>1531</v>
      </c>
      <c r="J96" s="23" t="s">
        <v>1532</v>
      </c>
      <c r="K96" s="23" t="s">
        <v>143</v>
      </c>
      <c r="L96" s="23" t="s">
        <v>79</v>
      </c>
    </row>
    <row r="97" spans="1:12" ht="49.5" customHeight="1" x14ac:dyDescent="0.35">
      <c r="A97" s="27" t="s">
        <v>840</v>
      </c>
      <c r="B97" s="23" t="s">
        <v>1673</v>
      </c>
      <c r="C97" s="27">
        <v>4</v>
      </c>
      <c r="D97" s="27" t="s">
        <v>237</v>
      </c>
      <c r="E97" s="23" t="s">
        <v>1685</v>
      </c>
      <c r="F97" s="23" t="s">
        <v>1686</v>
      </c>
      <c r="G97" s="23" t="s">
        <v>1535</v>
      </c>
      <c r="H97" s="23" t="s">
        <v>1536</v>
      </c>
      <c r="I97" s="23" t="s">
        <v>1537</v>
      </c>
      <c r="J97" s="23" t="s">
        <v>1538</v>
      </c>
      <c r="K97" s="23" t="s">
        <v>143</v>
      </c>
      <c r="L97" s="23" t="s">
        <v>79</v>
      </c>
    </row>
    <row r="98" spans="1:12" ht="49.5" customHeight="1" x14ac:dyDescent="0.35">
      <c r="A98" s="28" t="s">
        <v>840</v>
      </c>
      <c r="B98" s="23" t="s">
        <v>1673</v>
      </c>
      <c r="C98" s="28">
        <v>5</v>
      </c>
      <c r="D98" s="28" t="s">
        <v>241</v>
      </c>
      <c r="E98" s="23" t="s">
        <v>1687</v>
      </c>
      <c r="F98" s="23" t="s">
        <v>1688</v>
      </c>
      <c r="G98" s="23" t="s">
        <v>1541</v>
      </c>
      <c r="H98" s="23" t="s">
        <v>1542</v>
      </c>
      <c r="I98" s="23" t="s">
        <v>1543</v>
      </c>
      <c r="J98" s="23" t="s">
        <v>1544</v>
      </c>
      <c r="K98" s="23" t="s">
        <v>143</v>
      </c>
      <c r="L98" s="23" t="s">
        <v>79</v>
      </c>
    </row>
    <row r="99" spans="1:12" ht="49.5" customHeight="1" x14ac:dyDescent="0.35">
      <c r="A99" s="22" t="s">
        <v>850</v>
      </c>
      <c r="B99" s="23" t="s">
        <v>1689</v>
      </c>
      <c r="C99" s="22">
        <v>0</v>
      </c>
      <c r="D99" s="22" t="s">
        <v>221</v>
      </c>
      <c r="E99" s="23" t="s">
        <v>1690</v>
      </c>
      <c r="F99" s="23" t="s">
        <v>1691</v>
      </c>
      <c r="G99" s="23" t="s">
        <v>1511</v>
      </c>
      <c r="H99" s="23" t="s">
        <v>1692</v>
      </c>
      <c r="I99" s="23" t="s">
        <v>1513</v>
      </c>
      <c r="J99" s="23" t="s">
        <v>1693</v>
      </c>
      <c r="K99" s="23" t="s">
        <v>143</v>
      </c>
      <c r="L99" s="23" t="s">
        <v>79</v>
      </c>
    </row>
    <row r="100" spans="1:12" ht="49.5" customHeight="1" x14ac:dyDescent="0.35">
      <c r="A100" s="24" t="s">
        <v>850</v>
      </c>
      <c r="B100" s="23" t="s">
        <v>1689</v>
      </c>
      <c r="C100" s="24">
        <v>1</v>
      </c>
      <c r="D100" s="24" t="s">
        <v>225</v>
      </c>
      <c r="E100" s="23" t="s">
        <v>1694</v>
      </c>
      <c r="F100" s="23" t="s">
        <v>1695</v>
      </c>
      <c r="G100" s="23" t="s">
        <v>1517</v>
      </c>
      <c r="H100" s="23" t="s">
        <v>1518</v>
      </c>
      <c r="I100" s="23" t="s">
        <v>1519</v>
      </c>
      <c r="J100" s="23" t="s">
        <v>1696</v>
      </c>
      <c r="K100" s="23" t="s">
        <v>143</v>
      </c>
      <c r="L100" s="23" t="s">
        <v>79</v>
      </c>
    </row>
    <row r="101" spans="1:12" ht="49.5" customHeight="1" x14ac:dyDescent="0.35">
      <c r="A101" s="25" t="s">
        <v>850</v>
      </c>
      <c r="B101" s="23" t="s">
        <v>1689</v>
      </c>
      <c r="C101" s="25">
        <v>2</v>
      </c>
      <c r="D101" s="25" t="s">
        <v>229</v>
      </c>
      <c r="E101" s="23" t="s">
        <v>1697</v>
      </c>
      <c r="F101" s="23" t="s">
        <v>1698</v>
      </c>
      <c r="G101" s="23" t="s">
        <v>1523</v>
      </c>
      <c r="H101" s="23" t="s">
        <v>1524</v>
      </c>
      <c r="I101" s="23" t="s">
        <v>1525</v>
      </c>
      <c r="J101" s="23" t="s">
        <v>1526</v>
      </c>
      <c r="K101" s="23" t="s">
        <v>143</v>
      </c>
      <c r="L101" s="23" t="s">
        <v>79</v>
      </c>
    </row>
    <row r="102" spans="1:12" ht="49.5" customHeight="1" x14ac:dyDescent="0.35">
      <c r="A102" s="26" t="s">
        <v>850</v>
      </c>
      <c r="B102" s="3" t="s">
        <v>1689</v>
      </c>
      <c r="C102" s="26">
        <v>3</v>
      </c>
      <c r="D102" s="26" t="s">
        <v>233</v>
      </c>
      <c r="E102" s="3" t="s">
        <v>1699</v>
      </c>
      <c r="F102" s="3" t="s">
        <v>1700</v>
      </c>
      <c r="G102" s="3" t="s">
        <v>1529</v>
      </c>
      <c r="H102" s="3" t="s">
        <v>1530</v>
      </c>
      <c r="I102" s="3" t="s">
        <v>1531</v>
      </c>
      <c r="J102" s="3" t="s">
        <v>1532</v>
      </c>
      <c r="K102" s="3" t="s">
        <v>143</v>
      </c>
      <c r="L102" s="3" t="s">
        <v>79</v>
      </c>
    </row>
    <row r="103" spans="1:12" ht="49.5" customHeight="1" x14ac:dyDescent="0.35">
      <c r="A103" s="27" t="s">
        <v>850</v>
      </c>
      <c r="B103" s="3" t="s">
        <v>1689</v>
      </c>
      <c r="C103" s="27">
        <v>4</v>
      </c>
      <c r="D103" s="27" t="s">
        <v>237</v>
      </c>
      <c r="E103" s="3" t="s">
        <v>1701</v>
      </c>
      <c r="F103" s="3" t="s">
        <v>1702</v>
      </c>
      <c r="G103" s="3" t="s">
        <v>1535</v>
      </c>
      <c r="H103" s="3" t="s">
        <v>1536</v>
      </c>
      <c r="I103" s="3" t="s">
        <v>1537</v>
      </c>
      <c r="J103" s="3" t="s">
        <v>1538</v>
      </c>
      <c r="K103" s="3" t="s">
        <v>143</v>
      </c>
      <c r="L103" s="3" t="s">
        <v>79</v>
      </c>
    </row>
    <row r="104" spans="1:12" ht="49.5" customHeight="1" x14ac:dyDescent="0.35">
      <c r="A104" s="28" t="s">
        <v>850</v>
      </c>
      <c r="B104" s="3" t="s">
        <v>1689</v>
      </c>
      <c r="C104" s="28">
        <v>5</v>
      </c>
      <c r="D104" s="28" t="s">
        <v>241</v>
      </c>
      <c r="E104" s="3" t="s">
        <v>1703</v>
      </c>
      <c r="F104" s="3" t="s">
        <v>1704</v>
      </c>
      <c r="G104" s="3" t="s">
        <v>1541</v>
      </c>
      <c r="H104" s="3" t="s">
        <v>1542</v>
      </c>
      <c r="I104" s="3" t="s">
        <v>1543</v>
      </c>
      <c r="J104" s="3" t="s">
        <v>1544</v>
      </c>
      <c r="K104" s="3" t="s">
        <v>143</v>
      </c>
      <c r="L104" s="3" t="s">
        <v>79</v>
      </c>
    </row>
    <row r="105" spans="1:12" ht="49.5" customHeight="1" x14ac:dyDescent="0.35">
      <c r="A105" s="22" t="s">
        <v>860</v>
      </c>
      <c r="B105" s="3" t="s">
        <v>1705</v>
      </c>
      <c r="C105" s="22">
        <v>0</v>
      </c>
      <c r="D105" s="22" t="s">
        <v>221</v>
      </c>
      <c r="E105" s="3" t="s">
        <v>1706</v>
      </c>
      <c r="F105" s="3" t="s">
        <v>1707</v>
      </c>
      <c r="G105" s="3" t="s">
        <v>1511</v>
      </c>
      <c r="H105" s="3" t="s">
        <v>1708</v>
      </c>
      <c r="I105" s="3" t="s">
        <v>1513</v>
      </c>
      <c r="J105" s="3" t="s">
        <v>1709</v>
      </c>
      <c r="K105" s="3" t="s">
        <v>143</v>
      </c>
      <c r="L105" s="3" t="s">
        <v>79</v>
      </c>
    </row>
    <row r="106" spans="1:12" ht="49.5" customHeight="1" x14ac:dyDescent="0.35">
      <c r="A106" s="24" t="s">
        <v>860</v>
      </c>
      <c r="B106" s="3" t="s">
        <v>1705</v>
      </c>
      <c r="C106" s="24">
        <v>1</v>
      </c>
      <c r="D106" s="24" t="s">
        <v>225</v>
      </c>
      <c r="E106" s="3" t="s">
        <v>1710</v>
      </c>
      <c r="F106" s="3" t="s">
        <v>1711</v>
      </c>
      <c r="G106" s="3" t="s">
        <v>1517</v>
      </c>
      <c r="H106" s="3" t="s">
        <v>1518</v>
      </c>
      <c r="I106" s="3" t="s">
        <v>1519</v>
      </c>
      <c r="J106" s="3" t="s">
        <v>1712</v>
      </c>
      <c r="K106" s="3" t="s">
        <v>143</v>
      </c>
      <c r="L106" s="3" t="s">
        <v>79</v>
      </c>
    </row>
    <row r="107" spans="1:12" ht="49.5" customHeight="1" x14ac:dyDescent="0.35">
      <c r="A107" s="25" t="s">
        <v>860</v>
      </c>
      <c r="B107" s="3" t="s">
        <v>1705</v>
      </c>
      <c r="C107" s="25">
        <v>2</v>
      </c>
      <c r="D107" s="25" t="s">
        <v>229</v>
      </c>
      <c r="E107" s="3" t="s">
        <v>1713</v>
      </c>
      <c r="F107" s="3" t="s">
        <v>1714</v>
      </c>
      <c r="G107" s="3" t="s">
        <v>1523</v>
      </c>
      <c r="H107" s="3" t="s">
        <v>1524</v>
      </c>
      <c r="I107" s="3" t="s">
        <v>1525</v>
      </c>
      <c r="J107" s="3" t="s">
        <v>1526</v>
      </c>
      <c r="K107" s="3" t="s">
        <v>143</v>
      </c>
      <c r="L107" s="3" t="s">
        <v>79</v>
      </c>
    </row>
    <row r="108" spans="1:12" ht="49.5" customHeight="1" x14ac:dyDescent="0.35">
      <c r="A108" s="26" t="s">
        <v>860</v>
      </c>
      <c r="B108" s="23" t="s">
        <v>1705</v>
      </c>
      <c r="C108" s="26">
        <v>3</v>
      </c>
      <c r="D108" s="26" t="s">
        <v>233</v>
      </c>
      <c r="E108" s="23" t="s">
        <v>1715</v>
      </c>
      <c r="F108" s="23" t="s">
        <v>1716</v>
      </c>
      <c r="G108" s="23" t="s">
        <v>1529</v>
      </c>
      <c r="H108" s="23" t="s">
        <v>1530</v>
      </c>
      <c r="I108" s="23" t="s">
        <v>1531</v>
      </c>
      <c r="J108" s="23" t="s">
        <v>1532</v>
      </c>
      <c r="K108" s="23" t="s">
        <v>143</v>
      </c>
      <c r="L108" s="23" t="s">
        <v>79</v>
      </c>
    </row>
    <row r="109" spans="1:12" ht="49.5" customHeight="1" x14ac:dyDescent="0.35">
      <c r="A109" s="27" t="s">
        <v>860</v>
      </c>
      <c r="B109" s="23" t="s">
        <v>1705</v>
      </c>
      <c r="C109" s="27">
        <v>4</v>
      </c>
      <c r="D109" s="27" t="s">
        <v>237</v>
      </c>
      <c r="E109" s="23" t="s">
        <v>1717</v>
      </c>
      <c r="F109" s="23" t="s">
        <v>1718</v>
      </c>
      <c r="G109" s="23" t="s">
        <v>1535</v>
      </c>
      <c r="H109" s="23" t="s">
        <v>1536</v>
      </c>
      <c r="I109" s="23" t="s">
        <v>1537</v>
      </c>
      <c r="J109" s="23" t="s">
        <v>1538</v>
      </c>
      <c r="K109" s="23" t="s">
        <v>143</v>
      </c>
      <c r="L109" s="23" t="s">
        <v>79</v>
      </c>
    </row>
    <row r="110" spans="1:12" ht="49.5" customHeight="1" x14ac:dyDescent="0.35">
      <c r="A110" s="28" t="s">
        <v>860</v>
      </c>
      <c r="B110" s="23" t="s">
        <v>1705</v>
      </c>
      <c r="C110" s="28">
        <v>5</v>
      </c>
      <c r="D110" s="28" t="s">
        <v>241</v>
      </c>
      <c r="E110" s="23" t="s">
        <v>1719</v>
      </c>
      <c r="F110" s="23" t="s">
        <v>1720</v>
      </c>
      <c r="G110" s="23" t="s">
        <v>1541</v>
      </c>
      <c r="H110" s="23" t="s">
        <v>1542</v>
      </c>
      <c r="I110" s="23" t="s">
        <v>1543</v>
      </c>
      <c r="J110" s="23" t="s">
        <v>1544</v>
      </c>
      <c r="K110" s="23" t="s">
        <v>143</v>
      </c>
      <c r="L110" s="23" t="s">
        <v>79</v>
      </c>
    </row>
    <row r="111" spans="1:12" ht="49.5" customHeight="1" x14ac:dyDescent="0.35">
      <c r="A111" s="22" t="s">
        <v>870</v>
      </c>
      <c r="B111" s="23" t="s">
        <v>1721</v>
      </c>
      <c r="C111" s="22">
        <v>0</v>
      </c>
      <c r="D111" s="22" t="s">
        <v>221</v>
      </c>
      <c r="E111" s="23" t="s">
        <v>1722</v>
      </c>
      <c r="F111" s="23" t="s">
        <v>1723</v>
      </c>
      <c r="G111" s="23" t="s">
        <v>1511</v>
      </c>
      <c r="H111" s="23" t="s">
        <v>1724</v>
      </c>
      <c r="I111" s="23" t="s">
        <v>1513</v>
      </c>
      <c r="J111" s="23" t="s">
        <v>1725</v>
      </c>
      <c r="K111" s="23" t="s">
        <v>143</v>
      </c>
      <c r="L111" s="23" t="s">
        <v>79</v>
      </c>
    </row>
    <row r="112" spans="1:12" ht="49.5" customHeight="1" x14ac:dyDescent="0.35">
      <c r="A112" s="24" t="s">
        <v>870</v>
      </c>
      <c r="B112" s="23" t="s">
        <v>1721</v>
      </c>
      <c r="C112" s="24">
        <v>1</v>
      </c>
      <c r="D112" s="24" t="s">
        <v>225</v>
      </c>
      <c r="E112" s="23" t="s">
        <v>1726</v>
      </c>
      <c r="F112" s="23" t="s">
        <v>1727</v>
      </c>
      <c r="G112" s="23" t="s">
        <v>1517</v>
      </c>
      <c r="H112" s="23" t="s">
        <v>1518</v>
      </c>
      <c r="I112" s="23" t="s">
        <v>1519</v>
      </c>
      <c r="J112" s="23" t="s">
        <v>1728</v>
      </c>
      <c r="K112" s="23" t="s">
        <v>143</v>
      </c>
      <c r="L112" s="23" t="s">
        <v>79</v>
      </c>
    </row>
    <row r="113" spans="1:12" ht="49.5" customHeight="1" x14ac:dyDescent="0.35">
      <c r="A113" s="25" t="s">
        <v>870</v>
      </c>
      <c r="B113" s="23" t="s">
        <v>1721</v>
      </c>
      <c r="C113" s="25">
        <v>2</v>
      </c>
      <c r="D113" s="25" t="s">
        <v>229</v>
      </c>
      <c r="E113" s="23" t="s">
        <v>1729</v>
      </c>
      <c r="F113" s="23" t="s">
        <v>1730</v>
      </c>
      <c r="G113" s="23" t="s">
        <v>1523</v>
      </c>
      <c r="H113" s="23" t="s">
        <v>1524</v>
      </c>
      <c r="I113" s="23" t="s">
        <v>1525</v>
      </c>
      <c r="J113" s="23" t="s">
        <v>1526</v>
      </c>
      <c r="K113" s="23" t="s">
        <v>143</v>
      </c>
      <c r="L113" s="23" t="s">
        <v>79</v>
      </c>
    </row>
    <row r="114" spans="1:12" ht="49.5" customHeight="1" x14ac:dyDescent="0.35">
      <c r="A114" s="26" t="s">
        <v>870</v>
      </c>
      <c r="B114" s="3" t="s">
        <v>1721</v>
      </c>
      <c r="C114" s="26">
        <v>3</v>
      </c>
      <c r="D114" s="26" t="s">
        <v>233</v>
      </c>
      <c r="E114" s="3" t="s">
        <v>1731</v>
      </c>
      <c r="F114" s="3" t="s">
        <v>1732</v>
      </c>
      <c r="G114" s="3" t="s">
        <v>1529</v>
      </c>
      <c r="H114" s="3" t="s">
        <v>1530</v>
      </c>
      <c r="I114" s="3" t="s">
        <v>1531</v>
      </c>
      <c r="J114" s="3" t="s">
        <v>1532</v>
      </c>
      <c r="K114" s="3" t="s">
        <v>143</v>
      </c>
      <c r="L114" s="3" t="s">
        <v>79</v>
      </c>
    </row>
    <row r="115" spans="1:12" ht="49.5" customHeight="1" x14ac:dyDescent="0.35">
      <c r="A115" s="27" t="s">
        <v>870</v>
      </c>
      <c r="B115" s="3" t="s">
        <v>1721</v>
      </c>
      <c r="C115" s="27">
        <v>4</v>
      </c>
      <c r="D115" s="27" t="s">
        <v>237</v>
      </c>
      <c r="E115" s="3" t="s">
        <v>1733</v>
      </c>
      <c r="F115" s="3" t="s">
        <v>1734</v>
      </c>
      <c r="G115" s="3" t="s">
        <v>1535</v>
      </c>
      <c r="H115" s="3" t="s">
        <v>1536</v>
      </c>
      <c r="I115" s="3" t="s">
        <v>1537</v>
      </c>
      <c r="J115" s="3" t="s">
        <v>1538</v>
      </c>
      <c r="K115" s="3" t="s">
        <v>143</v>
      </c>
      <c r="L115" s="3" t="s">
        <v>79</v>
      </c>
    </row>
    <row r="116" spans="1:12" ht="49.5" customHeight="1" x14ac:dyDescent="0.35">
      <c r="A116" s="28" t="s">
        <v>870</v>
      </c>
      <c r="B116" s="3" t="s">
        <v>1721</v>
      </c>
      <c r="C116" s="28">
        <v>5</v>
      </c>
      <c r="D116" s="28" t="s">
        <v>241</v>
      </c>
      <c r="E116" s="3" t="s">
        <v>1735</v>
      </c>
      <c r="F116" s="3" t="s">
        <v>1736</v>
      </c>
      <c r="G116" s="3" t="s">
        <v>1541</v>
      </c>
      <c r="H116" s="3" t="s">
        <v>1542</v>
      </c>
      <c r="I116" s="3" t="s">
        <v>1543</v>
      </c>
      <c r="J116" s="3" t="s">
        <v>1544</v>
      </c>
      <c r="K116" s="3" t="s">
        <v>143</v>
      </c>
      <c r="L116" s="3" t="s">
        <v>79</v>
      </c>
    </row>
    <row r="117" spans="1:12" ht="49.5" customHeight="1" x14ac:dyDescent="0.35">
      <c r="A117" s="22" t="s">
        <v>879</v>
      </c>
      <c r="B117" s="3" t="s">
        <v>1737</v>
      </c>
      <c r="C117" s="22">
        <v>0</v>
      </c>
      <c r="D117" s="22" t="s">
        <v>221</v>
      </c>
      <c r="E117" s="3" t="s">
        <v>1738</v>
      </c>
      <c r="F117" s="3" t="s">
        <v>1739</v>
      </c>
      <c r="G117" s="3" t="s">
        <v>1511</v>
      </c>
      <c r="H117" s="3" t="s">
        <v>1740</v>
      </c>
      <c r="I117" s="3" t="s">
        <v>1513</v>
      </c>
      <c r="J117" s="3" t="s">
        <v>1741</v>
      </c>
      <c r="K117" s="3" t="s">
        <v>143</v>
      </c>
      <c r="L117" s="3" t="s">
        <v>79</v>
      </c>
    </row>
    <row r="118" spans="1:12" ht="49.5" customHeight="1" x14ac:dyDescent="0.35">
      <c r="A118" s="24" t="s">
        <v>879</v>
      </c>
      <c r="B118" s="3" t="s">
        <v>1737</v>
      </c>
      <c r="C118" s="24">
        <v>1</v>
      </c>
      <c r="D118" s="24" t="s">
        <v>225</v>
      </c>
      <c r="E118" s="3" t="s">
        <v>1742</v>
      </c>
      <c r="F118" s="3" t="s">
        <v>1743</v>
      </c>
      <c r="G118" s="3" t="s">
        <v>1517</v>
      </c>
      <c r="H118" s="3" t="s">
        <v>1518</v>
      </c>
      <c r="I118" s="3" t="s">
        <v>1519</v>
      </c>
      <c r="J118" s="3" t="s">
        <v>1744</v>
      </c>
      <c r="K118" s="3" t="s">
        <v>143</v>
      </c>
      <c r="L118" s="3" t="s">
        <v>79</v>
      </c>
    </row>
    <row r="119" spans="1:12" ht="49.5" customHeight="1" x14ac:dyDescent="0.35">
      <c r="A119" s="25" t="s">
        <v>879</v>
      </c>
      <c r="B119" s="3" t="s">
        <v>1737</v>
      </c>
      <c r="C119" s="25">
        <v>2</v>
      </c>
      <c r="D119" s="25" t="s">
        <v>229</v>
      </c>
      <c r="E119" s="3" t="s">
        <v>1745</v>
      </c>
      <c r="F119" s="3" t="s">
        <v>1746</v>
      </c>
      <c r="G119" s="3" t="s">
        <v>1523</v>
      </c>
      <c r="H119" s="3" t="s">
        <v>1524</v>
      </c>
      <c r="I119" s="3" t="s">
        <v>1525</v>
      </c>
      <c r="J119" s="3" t="s">
        <v>1526</v>
      </c>
      <c r="K119" s="3" t="s">
        <v>143</v>
      </c>
      <c r="L119" s="3" t="s">
        <v>79</v>
      </c>
    </row>
    <row r="120" spans="1:12" ht="49.5" customHeight="1" x14ac:dyDescent="0.35">
      <c r="A120" s="26" t="s">
        <v>879</v>
      </c>
      <c r="B120" s="23" t="s">
        <v>1737</v>
      </c>
      <c r="C120" s="26">
        <v>3</v>
      </c>
      <c r="D120" s="26" t="s">
        <v>233</v>
      </c>
      <c r="E120" s="23" t="s">
        <v>1747</v>
      </c>
      <c r="F120" s="23" t="s">
        <v>1748</v>
      </c>
      <c r="G120" s="23" t="s">
        <v>1529</v>
      </c>
      <c r="H120" s="23" t="s">
        <v>1530</v>
      </c>
      <c r="I120" s="23" t="s">
        <v>1531</v>
      </c>
      <c r="J120" s="23" t="s">
        <v>1532</v>
      </c>
      <c r="K120" s="23" t="s">
        <v>143</v>
      </c>
      <c r="L120" s="23" t="s">
        <v>79</v>
      </c>
    </row>
    <row r="121" spans="1:12" ht="49.5" customHeight="1" x14ac:dyDescent="0.35">
      <c r="A121" s="27" t="s">
        <v>879</v>
      </c>
      <c r="B121" s="23" t="s">
        <v>1737</v>
      </c>
      <c r="C121" s="27">
        <v>4</v>
      </c>
      <c r="D121" s="27" t="s">
        <v>237</v>
      </c>
      <c r="E121" s="23" t="s">
        <v>1749</v>
      </c>
      <c r="F121" s="23" t="s">
        <v>1750</v>
      </c>
      <c r="G121" s="23" t="s">
        <v>1535</v>
      </c>
      <c r="H121" s="23" t="s">
        <v>1536</v>
      </c>
      <c r="I121" s="23" t="s">
        <v>1537</v>
      </c>
      <c r="J121" s="23" t="s">
        <v>1538</v>
      </c>
      <c r="K121" s="23" t="s">
        <v>143</v>
      </c>
      <c r="L121" s="23" t="s">
        <v>79</v>
      </c>
    </row>
    <row r="122" spans="1:12" ht="49.5" customHeight="1" x14ac:dyDescent="0.35">
      <c r="A122" s="28" t="s">
        <v>879</v>
      </c>
      <c r="B122" s="23" t="s">
        <v>1737</v>
      </c>
      <c r="C122" s="28">
        <v>5</v>
      </c>
      <c r="D122" s="28" t="s">
        <v>241</v>
      </c>
      <c r="E122" s="23" t="s">
        <v>1751</v>
      </c>
      <c r="F122" s="23" t="s">
        <v>1752</v>
      </c>
      <c r="G122" s="23" t="s">
        <v>1541</v>
      </c>
      <c r="H122" s="23" t="s">
        <v>1542</v>
      </c>
      <c r="I122" s="23" t="s">
        <v>1543</v>
      </c>
      <c r="J122" s="23" t="s">
        <v>1544</v>
      </c>
      <c r="K122" s="23" t="s">
        <v>143</v>
      </c>
      <c r="L122" s="23" t="s">
        <v>79</v>
      </c>
    </row>
    <row r="123" spans="1:12" ht="49.5" customHeight="1" x14ac:dyDescent="0.35">
      <c r="A123" s="22" t="s">
        <v>889</v>
      </c>
      <c r="B123" s="23" t="s">
        <v>1753</v>
      </c>
      <c r="C123" s="22">
        <v>0</v>
      </c>
      <c r="D123" s="22" t="s">
        <v>221</v>
      </c>
      <c r="E123" s="23" t="s">
        <v>1754</v>
      </c>
      <c r="F123" s="23" t="s">
        <v>1755</v>
      </c>
      <c r="G123" s="23" t="s">
        <v>1511</v>
      </c>
      <c r="H123" s="23" t="s">
        <v>1756</v>
      </c>
      <c r="I123" s="23" t="s">
        <v>1513</v>
      </c>
      <c r="J123" s="23" t="s">
        <v>1757</v>
      </c>
      <c r="K123" s="23" t="s">
        <v>143</v>
      </c>
      <c r="L123" s="23" t="s">
        <v>79</v>
      </c>
    </row>
    <row r="124" spans="1:12" ht="49.5" customHeight="1" x14ac:dyDescent="0.35">
      <c r="A124" s="24" t="s">
        <v>889</v>
      </c>
      <c r="B124" s="23" t="s">
        <v>1753</v>
      </c>
      <c r="C124" s="24">
        <v>1</v>
      </c>
      <c r="D124" s="24" t="s">
        <v>225</v>
      </c>
      <c r="E124" s="23" t="s">
        <v>1758</v>
      </c>
      <c r="F124" s="23" t="s">
        <v>1759</v>
      </c>
      <c r="G124" s="23" t="s">
        <v>1517</v>
      </c>
      <c r="H124" s="23" t="s">
        <v>1518</v>
      </c>
      <c r="I124" s="23" t="s">
        <v>1519</v>
      </c>
      <c r="J124" s="23" t="s">
        <v>1760</v>
      </c>
      <c r="K124" s="23" t="s">
        <v>143</v>
      </c>
      <c r="L124" s="23" t="s">
        <v>79</v>
      </c>
    </row>
    <row r="125" spans="1:12" ht="49.5" customHeight="1" x14ac:dyDescent="0.35">
      <c r="A125" s="25" t="s">
        <v>889</v>
      </c>
      <c r="B125" s="23" t="s">
        <v>1753</v>
      </c>
      <c r="C125" s="25">
        <v>2</v>
      </c>
      <c r="D125" s="25" t="s">
        <v>229</v>
      </c>
      <c r="E125" s="23" t="s">
        <v>1761</v>
      </c>
      <c r="F125" s="23" t="s">
        <v>1762</v>
      </c>
      <c r="G125" s="23" t="s">
        <v>1523</v>
      </c>
      <c r="H125" s="23" t="s">
        <v>1524</v>
      </c>
      <c r="I125" s="23" t="s">
        <v>1525</v>
      </c>
      <c r="J125" s="23" t="s">
        <v>1526</v>
      </c>
      <c r="K125" s="23" t="s">
        <v>143</v>
      </c>
      <c r="L125" s="23" t="s">
        <v>79</v>
      </c>
    </row>
    <row r="126" spans="1:12" ht="49.5" customHeight="1" x14ac:dyDescent="0.35">
      <c r="A126" s="26" t="s">
        <v>889</v>
      </c>
      <c r="B126" s="3" t="s">
        <v>1753</v>
      </c>
      <c r="C126" s="26">
        <v>3</v>
      </c>
      <c r="D126" s="26" t="s">
        <v>233</v>
      </c>
      <c r="E126" s="3" t="s">
        <v>1763</v>
      </c>
      <c r="F126" s="3" t="s">
        <v>1764</v>
      </c>
      <c r="G126" s="3" t="s">
        <v>1529</v>
      </c>
      <c r="H126" s="3" t="s">
        <v>1530</v>
      </c>
      <c r="I126" s="3" t="s">
        <v>1531</v>
      </c>
      <c r="J126" s="3" t="s">
        <v>1532</v>
      </c>
      <c r="K126" s="3" t="s">
        <v>143</v>
      </c>
      <c r="L126" s="3" t="s">
        <v>79</v>
      </c>
    </row>
    <row r="127" spans="1:12" ht="49.5" customHeight="1" x14ac:dyDescent="0.35">
      <c r="A127" s="27" t="s">
        <v>889</v>
      </c>
      <c r="B127" s="3" t="s">
        <v>1753</v>
      </c>
      <c r="C127" s="27">
        <v>4</v>
      </c>
      <c r="D127" s="27" t="s">
        <v>237</v>
      </c>
      <c r="E127" s="3" t="s">
        <v>1765</v>
      </c>
      <c r="F127" s="3" t="s">
        <v>1766</v>
      </c>
      <c r="G127" s="3" t="s">
        <v>1535</v>
      </c>
      <c r="H127" s="3" t="s">
        <v>1536</v>
      </c>
      <c r="I127" s="3" t="s">
        <v>1537</v>
      </c>
      <c r="J127" s="3" t="s">
        <v>1538</v>
      </c>
      <c r="K127" s="3" t="s">
        <v>143</v>
      </c>
      <c r="L127" s="3" t="s">
        <v>79</v>
      </c>
    </row>
    <row r="128" spans="1:12" ht="49.5" customHeight="1" x14ac:dyDescent="0.35">
      <c r="A128" s="28" t="s">
        <v>889</v>
      </c>
      <c r="B128" s="3" t="s">
        <v>1753</v>
      </c>
      <c r="C128" s="28">
        <v>5</v>
      </c>
      <c r="D128" s="28" t="s">
        <v>241</v>
      </c>
      <c r="E128" s="3" t="s">
        <v>1767</v>
      </c>
      <c r="F128" s="3" t="s">
        <v>1768</v>
      </c>
      <c r="G128" s="3" t="s">
        <v>1541</v>
      </c>
      <c r="H128" s="3" t="s">
        <v>1542</v>
      </c>
      <c r="I128" s="3" t="s">
        <v>1543</v>
      </c>
      <c r="J128" s="3" t="s">
        <v>1544</v>
      </c>
      <c r="K128" s="3" t="s">
        <v>143</v>
      </c>
      <c r="L128" s="3" t="s">
        <v>79</v>
      </c>
    </row>
    <row r="129" spans="1:12" ht="49.5" customHeight="1" x14ac:dyDescent="0.35">
      <c r="A129" s="22" t="s">
        <v>899</v>
      </c>
      <c r="B129" s="3" t="s">
        <v>1769</v>
      </c>
      <c r="C129" s="22">
        <v>0</v>
      </c>
      <c r="D129" s="22" t="s">
        <v>221</v>
      </c>
      <c r="E129" s="3" t="s">
        <v>1770</v>
      </c>
      <c r="F129" s="3" t="s">
        <v>1771</v>
      </c>
      <c r="G129" s="3" t="s">
        <v>1511</v>
      </c>
      <c r="H129" s="3" t="s">
        <v>1772</v>
      </c>
      <c r="I129" s="3" t="s">
        <v>1513</v>
      </c>
      <c r="J129" s="3" t="s">
        <v>1773</v>
      </c>
      <c r="K129" s="3" t="s">
        <v>143</v>
      </c>
      <c r="L129" s="3" t="s">
        <v>79</v>
      </c>
    </row>
    <row r="130" spans="1:12" ht="49.5" customHeight="1" x14ac:dyDescent="0.35">
      <c r="A130" s="24" t="s">
        <v>899</v>
      </c>
      <c r="B130" s="3" t="s">
        <v>1769</v>
      </c>
      <c r="C130" s="24">
        <v>1</v>
      </c>
      <c r="D130" s="24" t="s">
        <v>225</v>
      </c>
      <c r="E130" s="3" t="s">
        <v>1774</v>
      </c>
      <c r="F130" s="3" t="s">
        <v>1775</v>
      </c>
      <c r="G130" s="3" t="s">
        <v>1517</v>
      </c>
      <c r="H130" s="3" t="s">
        <v>1518</v>
      </c>
      <c r="I130" s="3" t="s">
        <v>1519</v>
      </c>
      <c r="J130" s="3" t="s">
        <v>1776</v>
      </c>
      <c r="K130" s="3" t="s">
        <v>143</v>
      </c>
      <c r="L130" s="3" t="s">
        <v>79</v>
      </c>
    </row>
    <row r="131" spans="1:12" ht="49.5" customHeight="1" x14ac:dyDescent="0.35">
      <c r="A131" s="25" t="s">
        <v>899</v>
      </c>
      <c r="B131" s="3" t="s">
        <v>1769</v>
      </c>
      <c r="C131" s="25">
        <v>2</v>
      </c>
      <c r="D131" s="25" t="s">
        <v>229</v>
      </c>
      <c r="E131" s="3" t="s">
        <v>1777</v>
      </c>
      <c r="F131" s="3" t="s">
        <v>1778</v>
      </c>
      <c r="G131" s="3" t="s">
        <v>1523</v>
      </c>
      <c r="H131" s="3" t="s">
        <v>1524</v>
      </c>
      <c r="I131" s="3" t="s">
        <v>1525</v>
      </c>
      <c r="J131" s="3" t="s">
        <v>1526</v>
      </c>
      <c r="K131" s="3" t="s">
        <v>143</v>
      </c>
      <c r="L131" s="3" t="s">
        <v>79</v>
      </c>
    </row>
    <row r="132" spans="1:12" ht="49.5" customHeight="1" x14ac:dyDescent="0.35">
      <c r="A132" s="26" t="s">
        <v>899</v>
      </c>
      <c r="B132" s="23" t="s">
        <v>1769</v>
      </c>
      <c r="C132" s="26">
        <v>3</v>
      </c>
      <c r="D132" s="26" t="s">
        <v>233</v>
      </c>
      <c r="E132" s="23" t="s">
        <v>1779</v>
      </c>
      <c r="F132" s="23" t="s">
        <v>1780</v>
      </c>
      <c r="G132" s="23" t="s">
        <v>1529</v>
      </c>
      <c r="H132" s="23" t="s">
        <v>1530</v>
      </c>
      <c r="I132" s="23" t="s">
        <v>1531</v>
      </c>
      <c r="J132" s="23" t="s">
        <v>1532</v>
      </c>
      <c r="K132" s="23" t="s">
        <v>143</v>
      </c>
      <c r="L132" s="23" t="s">
        <v>79</v>
      </c>
    </row>
    <row r="133" spans="1:12" ht="49.5" customHeight="1" x14ac:dyDescent="0.35">
      <c r="A133" s="27" t="s">
        <v>899</v>
      </c>
      <c r="B133" s="23" t="s">
        <v>1769</v>
      </c>
      <c r="C133" s="27">
        <v>4</v>
      </c>
      <c r="D133" s="27" t="s">
        <v>237</v>
      </c>
      <c r="E133" s="23" t="s">
        <v>1781</v>
      </c>
      <c r="F133" s="23" t="s">
        <v>1782</v>
      </c>
      <c r="G133" s="23" t="s">
        <v>1535</v>
      </c>
      <c r="H133" s="23" t="s">
        <v>1536</v>
      </c>
      <c r="I133" s="23" t="s">
        <v>1537</v>
      </c>
      <c r="J133" s="23" t="s">
        <v>1538</v>
      </c>
      <c r="K133" s="23" t="s">
        <v>143</v>
      </c>
      <c r="L133" s="23" t="s">
        <v>79</v>
      </c>
    </row>
    <row r="134" spans="1:12" ht="49.5" customHeight="1" x14ac:dyDescent="0.35">
      <c r="A134" s="28" t="s">
        <v>899</v>
      </c>
      <c r="B134" s="23" t="s">
        <v>1769</v>
      </c>
      <c r="C134" s="28">
        <v>5</v>
      </c>
      <c r="D134" s="28" t="s">
        <v>241</v>
      </c>
      <c r="E134" s="23" t="s">
        <v>1783</v>
      </c>
      <c r="F134" s="23" t="s">
        <v>1784</v>
      </c>
      <c r="G134" s="23" t="s">
        <v>1541</v>
      </c>
      <c r="H134" s="23" t="s">
        <v>1542</v>
      </c>
      <c r="I134" s="23" t="s">
        <v>1543</v>
      </c>
      <c r="J134" s="23" t="s">
        <v>1544</v>
      </c>
      <c r="K134" s="23" t="s">
        <v>143</v>
      </c>
      <c r="L134" s="23" t="s">
        <v>79</v>
      </c>
    </row>
    <row r="135" spans="1:12" ht="49.5" customHeight="1" x14ac:dyDescent="0.35">
      <c r="A135" s="22" t="s">
        <v>910</v>
      </c>
      <c r="B135" s="23" t="s">
        <v>1785</v>
      </c>
      <c r="C135" s="22">
        <v>0</v>
      </c>
      <c r="D135" s="22" t="s">
        <v>221</v>
      </c>
      <c r="E135" s="23" t="s">
        <v>1786</v>
      </c>
      <c r="F135" s="23" t="s">
        <v>1787</v>
      </c>
      <c r="G135" s="23" t="s">
        <v>1511</v>
      </c>
      <c r="H135" s="23" t="s">
        <v>1788</v>
      </c>
      <c r="I135" s="23" t="s">
        <v>1513</v>
      </c>
      <c r="J135" s="23" t="s">
        <v>1789</v>
      </c>
      <c r="K135" s="23" t="s">
        <v>143</v>
      </c>
      <c r="L135" s="23" t="s">
        <v>79</v>
      </c>
    </row>
    <row r="136" spans="1:12" ht="49.5" customHeight="1" x14ac:dyDescent="0.35">
      <c r="A136" s="24" t="s">
        <v>910</v>
      </c>
      <c r="B136" s="23" t="s">
        <v>1785</v>
      </c>
      <c r="C136" s="24">
        <v>1</v>
      </c>
      <c r="D136" s="24" t="s">
        <v>225</v>
      </c>
      <c r="E136" s="23" t="s">
        <v>1790</v>
      </c>
      <c r="F136" s="23" t="s">
        <v>1791</v>
      </c>
      <c r="G136" s="23" t="s">
        <v>1517</v>
      </c>
      <c r="H136" s="23" t="s">
        <v>1518</v>
      </c>
      <c r="I136" s="23" t="s">
        <v>1519</v>
      </c>
      <c r="J136" s="23" t="s">
        <v>1792</v>
      </c>
      <c r="K136" s="23" t="s">
        <v>143</v>
      </c>
      <c r="L136" s="23" t="s">
        <v>79</v>
      </c>
    </row>
    <row r="137" spans="1:12" ht="49.5" customHeight="1" x14ac:dyDescent="0.35">
      <c r="A137" s="25" t="s">
        <v>910</v>
      </c>
      <c r="B137" s="23" t="s">
        <v>1785</v>
      </c>
      <c r="C137" s="25">
        <v>2</v>
      </c>
      <c r="D137" s="25" t="s">
        <v>229</v>
      </c>
      <c r="E137" s="23" t="s">
        <v>1793</v>
      </c>
      <c r="F137" s="23" t="s">
        <v>1794</v>
      </c>
      <c r="G137" s="23" t="s">
        <v>1523</v>
      </c>
      <c r="H137" s="23" t="s">
        <v>1524</v>
      </c>
      <c r="I137" s="23" t="s">
        <v>1525</v>
      </c>
      <c r="J137" s="23" t="s">
        <v>1526</v>
      </c>
      <c r="K137" s="23" t="s">
        <v>143</v>
      </c>
      <c r="L137" s="23" t="s">
        <v>79</v>
      </c>
    </row>
    <row r="138" spans="1:12" ht="49.5" customHeight="1" x14ac:dyDescent="0.35">
      <c r="A138" s="26" t="s">
        <v>910</v>
      </c>
      <c r="B138" s="3" t="s">
        <v>1785</v>
      </c>
      <c r="C138" s="26">
        <v>3</v>
      </c>
      <c r="D138" s="26" t="s">
        <v>233</v>
      </c>
      <c r="E138" s="3" t="s">
        <v>1795</v>
      </c>
      <c r="F138" s="3" t="s">
        <v>1796</v>
      </c>
      <c r="G138" s="3" t="s">
        <v>1529</v>
      </c>
      <c r="H138" s="3" t="s">
        <v>1530</v>
      </c>
      <c r="I138" s="3" t="s">
        <v>1531</v>
      </c>
      <c r="J138" s="3" t="s">
        <v>1532</v>
      </c>
      <c r="K138" s="3" t="s">
        <v>143</v>
      </c>
      <c r="L138" s="3" t="s">
        <v>79</v>
      </c>
    </row>
    <row r="139" spans="1:12" ht="49.5" customHeight="1" x14ac:dyDescent="0.35">
      <c r="A139" s="27" t="s">
        <v>910</v>
      </c>
      <c r="B139" s="3" t="s">
        <v>1785</v>
      </c>
      <c r="C139" s="27">
        <v>4</v>
      </c>
      <c r="D139" s="27" t="s">
        <v>237</v>
      </c>
      <c r="E139" s="3" t="s">
        <v>1797</v>
      </c>
      <c r="F139" s="3" t="s">
        <v>1798</v>
      </c>
      <c r="G139" s="3" t="s">
        <v>1535</v>
      </c>
      <c r="H139" s="3" t="s">
        <v>1536</v>
      </c>
      <c r="I139" s="3" t="s">
        <v>1537</v>
      </c>
      <c r="J139" s="3" t="s">
        <v>1538</v>
      </c>
      <c r="K139" s="3" t="s">
        <v>143</v>
      </c>
      <c r="L139" s="3" t="s">
        <v>79</v>
      </c>
    </row>
    <row r="140" spans="1:12" ht="49.5" customHeight="1" x14ac:dyDescent="0.35">
      <c r="A140" s="28" t="s">
        <v>910</v>
      </c>
      <c r="B140" s="3" t="s">
        <v>1785</v>
      </c>
      <c r="C140" s="28">
        <v>5</v>
      </c>
      <c r="D140" s="28" t="s">
        <v>241</v>
      </c>
      <c r="E140" s="3" t="s">
        <v>1799</v>
      </c>
      <c r="F140" s="3" t="s">
        <v>1800</v>
      </c>
      <c r="G140" s="3" t="s">
        <v>1541</v>
      </c>
      <c r="H140" s="3" t="s">
        <v>1542</v>
      </c>
      <c r="I140" s="3" t="s">
        <v>1543</v>
      </c>
      <c r="J140" s="3" t="s">
        <v>1544</v>
      </c>
      <c r="K140" s="3" t="s">
        <v>143</v>
      </c>
      <c r="L140" s="3" t="s">
        <v>79</v>
      </c>
    </row>
    <row r="141" spans="1:12" ht="49.5" customHeight="1" x14ac:dyDescent="0.35">
      <c r="A141" s="22" t="s">
        <v>921</v>
      </c>
      <c r="B141" s="3" t="s">
        <v>1801</v>
      </c>
      <c r="C141" s="22">
        <v>0</v>
      </c>
      <c r="D141" s="22" t="s">
        <v>221</v>
      </c>
      <c r="E141" s="3" t="s">
        <v>1802</v>
      </c>
      <c r="F141" s="3" t="s">
        <v>1803</v>
      </c>
      <c r="G141" s="3" t="s">
        <v>1511</v>
      </c>
      <c r="H141" s="3" t="s">
        <v>1804</v>
      </c>
      <c r="I141" s="3" t="s">
        <v>1513</v>
      </c>
      <c r="J141" s="3" t="s">
        <v>1805</v>
      </c>
      <c r="K141" s="3" t="s">
        <v>143</v>
      </c>
      <c r="L141" s="3" t="s">
        <v>79</v>
      </c>
    </row>
    <row r="142" spans="1:12" ht="49.5" customHeight="1" x14ac:dyDescent="0.35">
      <c r="A142" s="24" t="s">
        <v>921</v>
      </c>
      <c r="B142" s="3" t="s">
        <v>1801</v>
      </c>
      <c r="C142" s="24">
        <v>1</v>
      </c>
      <c r="D142" s="24" t="s">
        <v>225</v>
      </c>
      <c r="E142" s="3" t="s">
        <v>1806</v>
      </c>
      <c r="F142" s="3" t="s">
        <v>1807</v>
      </c>
      <c r="G142" s="3" t="s">
        <v>1517</v>
      </c>
      <c r="H142" s="3" t="s">
        <v>1518</v>
      </c>
      <c r="I142" s="3" t="s">
        <v>1519</v>
      </c>
      <c r="J142" s="3" t="s">
        <v>1808</v>
      </c>
      <c r="K142" s="3" t="s">
        <v>143</v>
      </c>
      <c r="L142" s="3" t="s">
        <v>79</v>
      </c>
    </row>
    <row r="143" spans="1:12" ht="49.5" customHeight="1" x14ac:dyDescent="0.35">
      <c r="A143" s="25" t="s">
        <v>921</v>
      </c>
      <c r="B143" s="3" t="s">
        <v>1801</v>
      </c>
      <c r="C143" s="25">
        <v>2</v>
      </c>
      <c r="D143" s="25" t="s">
        <v>229</v>
      </c>
      <c r="E143" s="3" t="s">
        <v>1809</v>
      </c>
      <c r="F143" s="3" t="s">
        <v>1810</v>
      </c>
      <c r="G143" s="3" t="s">
        <v>1523</v>
      </c>
      <c r="H143" s="3" t="s">
        <v>1524</v>
      </c>
      <c r="I143" s="3" t="s">
        <v>1525</v>
      </c>
      <c r="J143" s="3" t="s">
        <v>1526</v>
      </c>
      <c r="K143" s="3" t="s">
        <v>143</v>
      </c>
      <c r="L143" s="3" t="s">
        <v>79</v>
      </c>
    </row>
    <row r="144" spans="1:12" ht="49.5" customHeight="1" x14ac:dyDescent="0.35">
      <c r="A144" s="26" t="s">
        <v>921</v>
      </c>
      <c r="B144" s="23" t="s">
        <v>1801</v>
      </c>
      <c r="C144" s="26">
        <v>3</v>
      </c>
      <c r="D144" s="26" t="s">
        <v>233</v>
      </c>
      <c r="E144" s="23" t="s">
        <v>1811</v>
      </c>
      <c r="F144" s="23" t="s">
        <v>1812</v>
      </c>
      <c r="G144" s="23" t="s">
        <v>1529</v>
      </c>
      <c r="H144" s="23" t="s">
        <v>1530</v>
      </c>
      <c r="I144" s="23" t="s">
        <v>1531</v>
      </c>
      <c r="J144" s="23" t="s">
        <v>1532</v>
      </c>
      <c r="K144" s="23" t="s">
        <v>143</v>
      </c>
      <c r="L144" s="23" t="s">
        <v>79</v>
      </c>
    </row>
    <row r="145" spans="1:12" ht="49.5" customHeight="1" x14ac:dyDescent="0.35">
      <c r="A145" s="27" t="s">
        <v>921</v>
      </c>
      <c r="B145" s="23" t="s">
        <v>1801</v>
      </c>
      <c r="C145" s="27">
        <v>4</v>
      </c>
      <c r="D145" s="27" t="s">
        <v>237</v>
      </c>
      <c r="E145" s="23" t="s">
        <v>1813</v>
      </c>
      <c r="F145" s="23" t="s">
        <v>1814</v>
      </c>
      <c r="G145" s="23" t="s">
        <v>1535</v>
      </c>
      <c r="H145" s="23" t="s">
        <v>1536</v>
      </c>
      <c r="I145" s="23" t="s">
        <v>1537</v>
      </c>
      <c r="J145" s="23" t="s">
        <v>1538</v>
      </c>
      <c r="K145" s="23" t="s">
        <v>143</v>
      </c>
      <c r="L145" s="23" t="s">
        <v>79</v>
      </c>
    </row>
    <row r="146" spans="1:12" ht="49.5" customHeight="1" x14ac:dyDescent="0.35">
      <c r="A146" s="28" t="s">
        <v>921</v>
      </c>
      <c r="B146" s="23" t="s">
        <v>1801</v>
      </c>
      <c r="C146" s="28">
        <v>5</v>
      </c>
      <c r="D146" s="28" t="s">
        <v>241</v>
      </c>
      <c r="E146" s="23" t="s">
        <v>1815</v>
      </c>
      <c r="F146" s="23" t="s">
        <v>1816</v>
      </c>
      <c r="G146" s="23" t="s">
        <v>1541</v>
      </c>
      <c r="H146" s="23" t="s">
        <v>1542</v>
      </c>
      <c r="I146" s="23" t="s">
        <v>1543</v>
      </c>
      <c r="J146" s="23" t="s">
        <v>1544</v>
      </c>
      <c r="K146" s="23" t="s">
        <v>143</v>
      </c>
      <c r="L146" s="23" t="s">
        <v>79</v>
      </c>
    </row>
    <row r="147" spans="1:12" ht="49.5" customHeight="1" x14ac:dyDescent="0.35">
      <c r="A147" s="22" t="s">
        <v>931</v>
      </c>
      <c r="B147" s="23" t="s">
        <v>1817</v>
      </c>
      <c r="C147" s="22">
        <v>0</v>
      </c>
      <c r="D147" s="22" t="s">
        <v>221</v>
      </c>
      <c r="E147" s="23" t="s">
        <v>1818</v>
      </c>
      <c r="F147" s="23" t="s">
        <v>1819</v>
      </c>
      <c r="G147" s="23" t="s">
        <v>1511</v>
      </c>
      <c r="H147" s="23" t="s">
        <v>1820</v>
      </c>
      <c r="I147" s="23" t="s">
        <v>1513</v>
      </c>
      <c r="J147" s="23" t="s">
        <v>1821</v>
      </c>
      <c r="K147" s="23" t="s">
        <v>143</v>
      </c>
      <c r="L147" s="23" t="s">
        <v>79</v>
      </c>
    </row>
    <row r="148" spans="1:12" ht="49.5" customHeight="1" x14ac:dyDescent="0.35">
      <c r="A148" s="24" t="s">
        <v>931</v>
      </c>
      <c r="B148" s="23" t="s">
        <v>1817</v>
      </c>
      <c r="C148" s="24">
        <v>1</v>
      </c>
      <c r="D148" s="24" t="s">
        <v>225</v>
      </c>
      <c r="E148" s="23" t="s">
        <v>1822</v>
      </c>
      <c r="F148" s="23" t="s">
        <v>1823</v>
      </c>
      <c r="G148" s="23" t="s">
        <v>1517</v>
      </c>
      <c r="H148" s="23" t="s">
        <v>1518</v>
      </c>
      <c r="I148" s="23" t="s">
        <v>1519</v>
      </c>
      <c r="J148" s="23" t="s">
        <v>1824</v>
      </c>
      <c r="K148" s="23" t="s">
        <v>143</v>
      </c>
      <c r="L148" s="23" t="s">
        <v>79</v>
      </c>
    </row>
    <row r="149" spans="1:12" ht="49.5" customHeight="1" x14ac:dyDescent="0.35">
      <c r="A149" s="25" t="s">
        <v>931</v>
      </c>
      <c r="B149" s="23" t="s">
        <v>1817</v>
      </c>
      <c r="C149" s="25">
        <v>2</v>
      </c>
      <c r="D149" s="25" t="s">
        <v>229</v>
      </c>
      <c r="E149" s="23" t="s">
        <v>1825</v>
      </c>
      <c r="F149" s="23" t="s">
        <v>1826</v>
      </c>
      <c r="G149" s="23" t="s">
        <v>1523</v>
      </c>
      <c r="H149" s="23" t="s">
        <v>1524</v>
      </c>
      <c r="I149" s="23" t="s">
        <v>1525</v>
      </c>
      <c r="J149" s="23" t="s">
        <v>1526</v>
      </c>
      <c r="K149" s="23" t="s">
        <v>143</v>
      </c>
      <c r="L149" s="23" t="s">
        <v>79</v>
      </c>
    </row>
    <row r="150" spans="1:12" ht="49.5" customHeight="1" x14ac:dyDescent="0.35">
      <c r="A150" s="26" t="s">
        <v>931</v>
      </c>
      <c r="B150" s="3" t="s">
        <v>1817</v>
      </c>
      <c r="C150" s="26">
        <v>3</v>
      </c>
      <c r="D150" s="26" t="s">
        <v>233</v>
      </c>
      <c r="E150" s="3" t="s">
        <v>1827</v>
      </c>
      <c r="F150" s="3" t="s">
        <v>1828</v>
      </c>
      <c r="G150" s="3" t="s">
        <v>1529</v>
      </c>
      <c r="H150" s="3" t="s">
        <v>1530</v>
      </c>
      <c r="I150" s="3" t="s">
        <v>1531</v>
      </c>
      <c r="J150" s="3" t="s">
        <v>1532</v>
      </c>
      <c r="K150" s="3" t="s">
        <v>143</v>
      </c>
      <c r="L150" s="3" t="s">
        <v>79</v>
      </c>
    </row>
    <row r="151" spans="1:12" ht="49.5" customHeight="1" x14ac:dyDescent="0.35">
      <c r="A151" s="27" t="s">
        <v>931</v>
      </c>
      <c r="B151" s="3" t="s">
        <v>1817</v>
      </c>
      <c r="C151" s="27">
        <v>4</v>
      </c>
      <c r="D151" s="27" t="s">
        <v>237</v>
      </c>
      <c r="E151" s="3" t="s">
        <v>1829</v>
      </c>
      <c r="F151" s="3" t="s">
        <v>1830</v>
      </c>
      <c r="G151" s="3" t="s">
        <v>1535</v>
      </c>
      <c r="H151" s="3" t="s">
        <v>1536</v>
      </c>
      <c r="I151" s="3" t="s">
        <v>1537</v>
      </c>
      <c r="J151" s="3" t="s">
        <v>1538</v>
      </c>
      <c r="K151" s="3" t="s">
        <v>143</v>
      </c>
      <c r="L151" s="3" t="s">
        <v>79</v>
      </c>
    </row>
    <row r="152" spans="1:12" ht="49.5" customHeight="1" x14ac:dyDescent="0.35">
      <c r="A152" s="28" t="s">
        <v>931</v>
      </c>
      <c r="B152" s="3" t="s">
        <v>1817</v>
      </c>
      <c r="C152" s="28">
        <v>5</v>
      </c>
      <c r="D152" s="28" t="s">
        <v>241</v>
      </c>
      <c r="E152" s="3" t="s">
        <v>1831</v>
      </c>
      <c r="F152" s="3" t="s">
        <v>1832</v>
      </c>
      <c r="G152" s="3" t="s">
        <v>1541</v>
      </c>
      <c r="H152" s="3" t="s">
        <v>1542</v>
      </c>
      <c r="I152" s="3" t="s">
        <v>1543</v>
      </c>
      <c r="J152" s="3" t="s">
        <v>1544</v>
      </c>
      <c r="K152" s="3" t="s">
        <v>143</v>
      </c>
      <c r="L152" s="3" t="s">
        <v>79</v>
      </c>
    </row>
    <row r="153" spans="1:12" ht="49.5" customHeight="1" x14ac:dyDescent="0.35">
      <c r="A153" s="22" t="s">
        <v>941</v>
      </c>
      <c r="B153" s="3" t="s">
        <v>1833</v>
      </c>
      <c r="C153" s="22">
        <v>0</v>
      </c>
      <c r="D153" s="22" t="s">
        <v>221</v>
      </c>
      <c r="E153" s="3" t="s">
        <v>1834</v>
      </c>
      <c r="F153" s="3" t="s">
        <v>1835</v>
      </c>
      <c r="G153" s="3" t="s">
        <v>1511</v>
      </c>
      <c r="H153" s="3" t="s">
        <v>1836</v>
      </c>
      <c r="I153" s="3" t="s">
        <v>1513</v>
      </c>
      <c r="J153" s="3" t="s">
        <v>1837</v>
      </c>
      <c r="K153" s="3" t="s">
        <v>143</v>
      </c>
      <c r="L153" s="3" t="s">
        <v>79</v>
      </c>
    </row>
    <row r="154" spans="1:12" ht="49.5" customHeight="1" x14ac:dyDescent="0.35">
      <c r="A154" s="24" t="s">
        <v>941</v>
      </c>
      <c r="B154" s="3" t="s">
        <v>1833</v>
      </c>
      <c r="C154" s="24">
        <v>1</v>
      </c>
      <c r="D154" s="24" t="s">
        <v>225</v>
      </c>
      <c r="E154" s="3" t="s">
        <v>1838</v>
      </c>
      <c r="F154" s="3" t="s">
        <v>1839</v>
      </c>
      <c r="G154" s="3" t="s">
        <v>1517</v>
      </c>
      <c r="H154" s="3" t="s">
        <v>1518</v>
      </c>
      <c r="I154" s="3" t="s">
        <v>1519</v>
      </c>
      <c r="J154" s="3" t="s">
        <v>1840</v>
      </c>
      <c r="K154" s="3" t="s">
        <v>143</v>
      </c>
      <c r="L154" s="3" t="s">
        <v>79</v>
      </c>
    </row>
    <row r="155" spans="1:12" ht="49.5" customHeight="1" x14ac:dyDescent="0.35">
      <c r="A155" s="25" t="s">
        <v>941</v>
      </c>
      <c r="B155" s="3" t="s">
        <v>1833</v>
      </c>
      <c r="C155" s="25">
        <v>2</v>
      </c>
      <c r="D155" s="25" t="s">
        <v>229</v>
      </c>
      <c r="E155" s="3" t="s">
        <v>1841</v>
      </c>
      <c r="F155" s="3" t="s">
        <v>1842</v>
      </c>
      <c r="G155" s="3" t="s">
        <v>1523</v>
      </c>
      <c r="H155" s="3" t="s">
        <v>1524</v>
      </c>
      <c r="I155" s="3" t="s">
        <v>1525</v>
      </c>
      <c r="J155" s="3" t="s">
        <v>1526</v>
      </c>
      <c r="K155" s="3" t="s">
        <v>143</v>
      </c>
      <c r="L155" s="3" t="s">
        <v>79</v>
      </c>
    </row>
    <row r="156" spans="1:12" ht="49.5" customHeight="1" x14ac:dyDescent="0.35">
      <c r="A156" s="26" t="s">
        <v>941</v>
      </c>
      <c r="B156" s="23" t="s">
        <v>1833</v>
      </c>
      <c r="C156" s="26">
        <v>3</v>
      </c>
      <c r="D156" s="26" t="s">
        <v>233</v>
      </c>
      <c r="E156" s="23" t="s">
        <v>1843</v>
      </c>
      <c r="F156" s="23" t="s">
        <v>1844</v>
      </c>
      <c r="G156" s="23" t="s">
        <v>1529</v>
      </c>
      <c r="H156" s="23" t="s">
        <v>1530</v>
      </c>
      <c r="I156" s="23" t="s">
        <v>1531</v>
      </c>
      <c r="J156" s="23" t="s">
        <v>1532</v>
      </c>
      <c r="K156" s="23" t="s">
        <v>143</v>
      </c>
      <c r="L156" s="23" t="s">
        <v>79</v>
      </c>
    </row>
    <row r="157" spans="1:12" ht="49.5" customHeight="1" x14ac:dyDescent="0.35">
      <c r="A157" s="27" t="s">
        <v>941</v>
      </c>
      <c r="B157" s="23" t="s">
        <v>1833</v>
      </c>
      <c r="C157" s="27">
        <v>4</v>
      </c>
      <c r="D157" s="27" t="s">
        <v>237</v>
      </c>
      <c r="E157" s="23" t="s">
        <v>1845</v>
      </c>
      <c r="F157" s="23" t="s">
        <v>1846</v>
      </c>
      <c r="G157" s="23" t="s">
        <v>1535</v>
      </c>
      <c r="H157" s="23" t="s">
        <v>1536</v>
      </c>
      <c r="I157" s="23" t="s">
        <v>1537</v>
      </c>
      <c r="J157" s="23" t="s">
        <v>1538</v>
      </c>
      <c r="K157" s="23" t="s">
        <v>143</v>
      </c>
      <c r="L157" s="23" t="s">
        <v>79</v>
      </c>
    </row>
    <row r="158" spans="1:12" ht="49.5" customHeight="1" x14ac:dyDescent="0.35">
      <c r="A158" s="28" t="s">
        <v>941</v>
      </c>
      <c r="B158" s="23" t="s">
        <v>1833</v>
      </c>
      <c r="C158" s="28">
        <v>5</v>
      </c>
      <c r="D158" s="28" t="s">
        <v>241</v>
      </c>
      <c r="E158" s="23" t="s">
        <v>1847</v>
      </c>
      <c r="F158" s="23" t="s">
        <v>1848</v>
      </c>
      <c r="G158" s="23" t="s">
        <v>1541</v>
      </c>
      <c r="H158" s="23" t="s">
        <v>1542</v>
      </c>
      <c r="I158" s="23" t="s">
        <v>1543</v>
      </c>
      <c r="J158" s="23" t="s">
        <v>1544</v>
      </c>
      <c r="K158" s="23" t="s">
        <v>143</v>
      </c>
      <c r="L158" s="23" t="s">
        <v>79</v>
      </c>
    </row>
    <row r="159" spans="1:12" ht="49.5" customHeight="1" x14ac:dyDescent="0.35">
      <c r="A159" s="22" t="s">
        <v>951</v>
      </c>
      <c r="B159" s="23" t="s">
        <v>1849</v>
      </c>
      <c r="C159" s="22">
        <v>0</v>
      </c>
      <c r="D159" s="22" t="s">
        <v>221</v>
      </c>
      <c r="E159" s="23" t="s">
        <v>1850</v>
      </c>
      <c r="F159" s="23" t="s">
        <v>1851</v>
      </c>
      <c r="G159" s="23" t="s">
        <v>1511</v>
      </c>
      <c r="H159" s="23" t="s">
        <v>1852</v>
      </c>
      <c r="I159" s="23" t="s">
        <v>1513</v>
      </c>
      <c r="J159" s="23" t="s">
        <v>1853</v>
      </c>
      <c r="K159" s="23" t="s">
        <v>143</v>
      </c>
      <c r="L159" s="23" t="s">
        <v>79</v>
      </c>
    </row>
    <row r="160" spans="1:12" ht="49.5" customHeight="1" x14ac:dyDescent="0.35">
      <c r="A160" s="24" t="s">
        <v>951</v>
      </c>
      <c r="B160" s="23" t="s">
        <v>1849</v>
      </c>
      <c r="C160" s="24">
        <v>1</v>
      </c>
      <c r="D160" s="24" t="s">
        <v>225</v>
      </c>
      <c r="E160" s="23" t="s">
        <v>1854</v>
      </c>
      <c r="F160" s="23" t="s">
        <v>1855</v>
      </c>
      <c r="G160" s="23" t="s">
        <v>1517</v>
      </c>
      <c r="H160" s="23" t="s">
        <v>1518</v>
      </c>
      <c r="I160" s="23" t="s">
        <v>1519</v>
      </c>
      <c r="J160" s="23" t="s">
        <v>1856</v>
      </c>
      <c r="K160" s="23" t="s">
        <v>143</v>
      </c>
      <c r="L160" s="23" t="s">
        <v>79</v>
      </c>
    </row>
    <row r="161" spans="1:12" ht="49.5" customHeight="1" x14ac:dyDescent="0.35">
      <c r="A161" s="25" t="s">
        <v>951</v>
      </c>
      <c r="B161" s="23" t="s">
        <v>1849</v>
      </c>
      <c r="C161" s="25">
        <v>2</v>
      </c>
      <c r="D161" s="25" t="s">
        <v>229</v>
      </c>
      <c r="E161" s="23" t="s">
        <v>1857</v>
      </c>
      <c r="F161" s="23" t="s">
        <v>1858</v>
      </c>
      <c r="G161" s="23" t="s">
        <v>1523</v>
      </c>
      <c r="H161" s="23" t="s">
        <v>1524</v>
      </c>
      <c r="I161" s="23" t="s">
        <v>1525</v>
      </c>
      <c r="J161" s="23" t="s">
        <v>1526</v>
      </c>
      <c r="K161" s="23" t="s">
        <v>143</v>
      </c>
      <c r="L161" s="23" t="s">
        <v>79</v>
      </c>
    </row>
    <row r="162" spans="1:12" ht="49.5" customHeight="1" x14ac:dyDescent="0.35">
      <c r="A162" s="26" t="s">
        <v>951</v>
      </c>
      <c r="B162" s="3" t="s">
        <v>1849</v>
      </c>
      <c r="C162" s="26">
        <v>3</v>
      </c>
      <c r="D162" s="26" t="s">
        <v>233</v>
      </c>
      <c r="E162" s="3" t="s">
        <v>1859</v>
      </c>
      <c r="F162" s="3" t="s">
        <v>1860</v>
      </c>
      <c r="G162" s="3" t="s">
        <v>1529</v>
      </c>
      <c r="H162" s="3" t="s">
        <v>1530</v>
      </c>
      <c r="I162" s="3" t="s">
        <v>1531</v>
      </c>
      <c r="J162" s="3" t="s">
        <v>1532</v>
      </c>
      <c r="K162" s="3" t="s">
        <v>143</v>
      </c>
      <c r="L162" s="3" t="s">
        <v>79</v>
      </c>
    </row>
    <row r="163" spans="1:12" ht="49.5" customHeight="1" x14ac:dyDescent="0.35">
      <c r="A163" s="27" t="s">
        <v>951</v>
      </c>
      <c r="B163" s="3" t="s">
        <v>1849</v>
      </c>
      <c r="C163" s="27">
        <v>4</v>
      </c>
      <c r="D163" s="27" t="s">
        <v>237</v>
      </c>
      <c r="E163" s="3" t="s">
        <v>1861</v>
      </c>
      <c r="F163" s="3" t="s">
        <v>1862</v>
      </c>
      <c r="G163" s="3" t="s">
        <v>1535</v>
      </c>
      <c r="H163" s="3" t="s">
        <v>1536</v>
      </c>
      <c r="I163" s="3" t="s">
        <v>1537</v>
      </c>
      <c r="J163" s="3" t="s">
        <v>1538</v>
      </c>
      <c r="K163" s="3" t="s">
        <v>143</v>
      </c>
      <c r="L163" s="3" t="s">
        <v>79</v>
      </c>
    </row>
    <row r="164" spans="1:12" ht="49.5" customHeight="1" x14ac:dyDescent="0.35">
      <c r="A164" s="28" t="s">
        <v>951</v>
      </c>
      <c r="B164" s="3" t="s">
        <v>1849</v>
      </c>
      <c r="C164" s="28">
        <v>5</v>
      </c>
      <c r="D164" s="28" t="s">
        <v>241</v>
      </c>
      <c r="E164" s="3" t="s">
        <v>1863</v>
      </c>
      <c r="F164" s="3" t="s">
        <v>1864</v>
      </c>
      <c r="G164" s="3" t="s">
        <v>1541</v>
      </c>
      <c r="H164" s="3" t="s">
        <v>1542</v>
      </c>
      <c r="I164" s="3" t="s">
        <v>1543</v>
      </c>
      <c r="J164" s="3" t="s">
        <v>1544</v>
      </c>
      <c r="K164" s="3" t="s">
        <v>143</v>
      </c>
      <c r="L164" s="3" t="s">
        <v>79</v>
      </c>
    </row>
    <row r="165" spans="1:12" ht="49.5" customHeight="1" x14ac:dyDescent="0.35">
      <c r="A165" s="22" t="s">
        <v>961</v>
      </c>
      <c r="B165" s="3" t="s">
        <v>1865</v>
      </c>
      <c r="C165" s="22">
        <v>0</v>
      </c>
      <c r="D165" s="22" t="s">
        <v>221</v>
      </c>
      <c r="E165" s="3" t="s">
        <v>1866</v>
      </c>
      <c r="F165" s="3" t="s">
        <v>1867</v>
      </c>
      <c r="G165" s="3" t="s">
        <v>1511</v>
      </c>
      <c r="H165" s="3" t="s">
        <v>1868</v>
      </c>
      <c r="I165" s="3" t="s">
        <v>1513</v>
      </c>
      <c r="J165" s="3" t="s">
        <v>1869</v>
      </c>
      <c r="K165" s="3" t="s">
        <v>143</v>
      </c>
      <c r="L165" s="3" t="s">
        <v>79</v>
      </c>
    </row>
    <row r="166" spans="1:12" ht="49.5" customHeight="1" x14ac:dyDescent="0.35">
      <c r="A166" s="24" t="s">
        <v>961</v>
      </c>
      <c r="B166" s="3" t="s">
        <v>1865</v>
      </c>
      <c r="C166" s="24">
        <v>1</v>
      </c>
      <c r="D166" s="24" t="s">
        <v>225</v>
      </c>
      <c r="E166" s="3" t="s">
        <v>1870</v>
      </c>
      <c r="F166" s="3" t="s">
        <v>1871</v>
      </c>
      <c r="G166" s="3" t="s">
        <v>1517</v>
      </c>
      <c r="H166" s="3" t="s">
        <v>1518</v>
      </c>
      <c r="I166" s="3" t="s">
        <v>1519</v>
      </c>
      <c r="J166" s="3" t="s">
        <v>1872</v>
      </c>
      <c r="K166" s="3" t="s">
        <v>143</v>
      </c>
      <c r="L166" s="3" t="s">
        <v>79</v>
      </c>
    </row>
    <row r="167" spans="1:12" ht="49.5" customHeight="1" x14ac:dyDescent="0.35">
      <c r="A167" s="25" t="s">
        <v>961</v>
      </c>
      <c r="B167" s="3" t="s">
        <v>1865</v>
      </c>
      <c r="C167" s="25">
        <v>2</v>
      </c>
      <c r="D167" s="25" t="s">
        <v>229</v>
      </c>
      <c r="E167" s="3" t="s">
        <v>1873</v>
      </c>
      <c r="F167" s="3" t="s">
        <v>1874</v>
      </c>
      <c r="G167" s="3" t="s">
        <v>1523</v>
      </c>
      <c r="H167" s="3" t="s">
        <v>1524</v>
      </c>
      <c r="I167" s="3" t="s">
        <v>1525</v>
      </c>
      <c r="J167" s="3" t="s">
        <v>1526</v>
      </c>
      <c r="K167" s="3" t="s">
        <v>143</v>
      </c>
      <c r="L167" s="3" t="s">
        <v>79</v>
      </c>
    </row>
    <row r="168" spans="1:12" ht="49.5" customHeight="1" x14ac:dyDescent="0.35">
      <c r="A168" s="26" t="s">
        <v>961</v>
      </c>
      <c r="B168" s="23" t="s">
        <v>1865</v>
      </c>
      <c r="C168" s="26">
        <v>3</v>
      </c>
      <c r="D168" s="26" t="s">
        <v>233</v>
      </c>
      <c r="E168" s="23" t="s">
        <v>1875</v>
      </c>
      <c r="F168" s="23" t="s">
        <v>1876</v>
      </c>
      <c r="G168" s="23" t="s">
        <v>1529</v>
      </c>
      <c r="H168" s="23" t="s">
        <v>1530</v>
      </c>
      <c r="I168" s="23" t="s">
        <v>1531</v>
      </c>
      <c r="J168" s="23" t="s">
        <v>1532</v>
      </c>
      <c r="K168" s="23" t="s">
        <v>143</v>
      </c>
      <c r="L168" s="23" t="s">
        <v>79</v>
      </c>
    </row>
    <row r="169" spans="1:12" ht="49.5" customHeight="1" x14ac:dyDescent="0.35">
      <c r="A169" s="27" t="s">
        <v>961</v>
      </c>
      <c r="B169" s="23" t="s">
        <v>1865</v>
      </c>
      <c r="C169" s="27">
        <v>4</v>
      </c>
      <c r="D169" s="27" t="s">
        <v>237</v>
      </c>
      <c r="E169" s="23" t="s">
        <v>1877</v>
      </c>
      <c r="F169" s="23" t="s">
        <v>1878</v>
      </c>
      <c r="G169" s="23" t="s">
        <v>1535</v>
      </c>
      <c r="H169" s="23" t="s">
        <v>1536</v>
      </c>
      <c r="I169" s="23" t="s">
        <v>1537</v>
      </c>
      <c r="J169" s="23" t="s">
        <v>1538</v>
      </c>
      <c r="K169" s="23" t="s">
        <v>143</v>
      </c>
      <c r="L169" s="23" t="s">
        <v>79</v>
      </c>
    </row>
    <row r="170" spans="1:12" ht="49.5" customHeight="1" x14ac:dyDescent="0.35">
      <c r="A170" s="28" t="s">
        <v>961</v>
      </c>
      <c r="B170" s="23" t="s">
        <v>1865</v>
      </c>
      <c r="C170" s="28">
        <v>5</v>
      </c>
      <c r="D170" s="28" t="s">
        <v>241</v>
      </c>
      <c r="E170" s="23" t="s">
        <v>1879</v>
      </c>
      <c r="F170" s="23" t="s">
        <v>1880</v>
      </c>
      <c r="G170" s="23" t="s">
        <v>1541</v>
      </c>
      <c r="H170" s="23" t="s">
        <v>1542</v>
      </c>
      <c r="I170" s="23" t="s">
        <v>1543</v>
      </c>
      <c r="J170" s="23" t="s">
        <v>1544</v>
      </c>
      <c r="K170" s="23" t="s">
        <v>143</v>
      </c>
      <c r="L170" s="23" t="s">
        <v>79</v>
      </c>
    </row>
    <row r="171" spans="1:12" ht="49.5" customHeight="1" x14ac:dyDescent="0.35">
      <c r="A171" s="22" t="s">
        <v>970</v>
      </c>
      <c r="B171" s="23" t="s">
        <v>1881</v>
      </c>
      <c r="C171" s="22">
        <v>0</v>
      </c>
      <c r="D171" s="22" t="s">
        <v>221</v>
      </c>
      <c r="E171" s="23" t="s">
        <v>1882</v>
      </c>
      <c r="F171" s="23" t="s">
        <v>1883</v>
      </c>
      <c r="G171" s="23" t="s">
        <v>1511</v>
      </c>
      <c r="H171" s="23" t="s">
        <v>1884</v>
      </c>
      <c r="I171" s="23" t="s">
        <v>1513</v>
      </c>
      <c r="J171" s="23" t="s">
        <v>1885</v>
      </c>
      <c r="K171" s="23" t="s">
        <v>143</v>
      </c>
      <c r="L171" s="23" t="s">
        <v>79</v>
      </c>
    </row>
    <row r="172" spans="1:12" ht="49.5" customHeight="1" x14ac:dyDescent="0.35">
      <c r="A172" s="24" t="s">
        <v>970</v>
      </c>
      <c r="B172" s="23" t="s">
        <v>1881</v>
      </c>
      <c r="C172" s="24">
        <v>1</v>
      </c>
      <c r="D172" s="24" t="s">
        <v>225</v>
      </c>
      <c r="E172" s="23" t="s">
        <v>1886</v>
      </c>
      <c r="F172" s="23" t="s">
        <v>1887</v>
      </c>
      <c r="G172" s="23" t="s">
        <v>1517</v>
      </c>
      <c r="H172" s="23" t="s">
        <v>1518</v>
      </c>
      <c r="I172" s="23" t="s">
        <v>1519</v>
      </c>
      <c r="J172" s="23" t="s">
        <v>1888</v>
      </c>
      <c r="K172" s="23" t="s">
        <v>143</v>
      </c>
      <c r="L172" s="23" t="s">
        <v>79</v>
      </c>
    </row>
    <row r="173" spans="1:12" ht="49.5" customHeight="1" x14ac:dyDescent="0.35">
      <c r="A173" s="25" t="s">
        <v>970</v>
      </c>
      <c r="B173" s="23" t="s">
        <v>1881</v>
      </c>
      <c r="C173" s="25">
        <v>2</v>
      </c>
      <c r="D173" s="25" t="s">
        <v>229</v>
      </c>
      <c r="E173" s="23" t="s">
        <v>1889</v>
      </c>
      <c r="F173" s="23" t="s">
        <v>1890</v>
      </c>
      <c r="G173" s="23" t="s">
        <v>1523</v>
      </c>
      <c r="H173" s="23" t="s">
        <v>1524</v>
      </c>
      <c r="I173" s="23" t="s">
        <v>1525</v>
      </c>
      <c r="J173" s="23" t="s">
        <v>1526</v>
      </c>
      <c r="K173" s="23" t="s">
        <v>143</v>
      </c>
      <c r="L173" s="23" t="s">
        <v>79</v>
      </c>
    </row>
    <row r="174" spans="1:12" ht="49.5" customHeight="1" x14ac:dyDescent="0.35">
      <c r="A174" s="26" t="s">
        <v>970</v>
      </c>
      <c r="B174" s="3" t="s">
        <v>1881</v>
      </c>
      <c r="C174" s="26">
        <v>3</v>
      </c>
      <c r="D174" s="26" t="s">
        <v>233</v>
      </c>
      <c r="E174" s="3" t="s">
        <v>1891</v>
      </c>
      <c r="F174" s="3" t="s">
        <v>1892</v>
      </c>
      <c r="G174" s="3" t="s">
        <v>1529</v>
      </c>
      <c r="H174" s="3" t="s">
        <v>1530</v>
      </c>
      <c r="I174" s="3" t="s">
        <v>1531</v>
      </c>
      <c r="J174" s="3" t="s">
        <v>1532</v>
      </c>
      <c r="K174" s="3" t="s">
        <v>143</v>
      </c>
      <c r="L174" s="3" t="s">
        <v>79</v>
      </c>
    </row>
    <row r="175" spans="1:12" ht="49.5" customHeight="1" x14ac:dyDescent="0.35">
      <c r="A175" s="27" t="s">
        <v>970</v>
      </c>
      <c r="B175" s="3" t="s">
        <v>1881</v>
      </c>
      <c r="C175" s="27">
        <v>4</v>
      </c>
      <c r="D175" s="27" t="s">
        <v>237</v>
      </c>
      <c r="E175" s="3" t="s">
        <v>1893</v>
      </c>
      <c r="F175" s="3" t="s">
        <v>1894</v>
      </c>
      <c r="G175" s="3" t="s">
        <v>1535</v>
      </c>
      <c r="H175" s="3" t="s">
        <v>1536</v>
      </c>
      <c r="I175" s="3" t="s">
        <v>1537</v>
      </c>
      <c r="J175" s="3" t="s">
        <v>1538</v>
      </c>
      <c r="K175" s="3" t="s">
        <v>143</v>
      </c>
      <c r="L175" s="3" t="s">
        <v>79</v>
      </c>
    </row>
    <row r="176" spans="1:12" ht="49.5" customHeight="1" x14ac:dyDescent="0.35">
      <c r="A176" s="28" t="s">
        <v>970</v>
      </c>
      <c r="B176" s="3" t="s">
        <v>1881</v>
      </c>
      <c r="C176" s="28">
        <v>5</v>
      </c>
      <c r="D176" s="28" t="s">
        <v>241</v>
      </c>
      <c r="E176" s="3" t="s">
        <v>1895</v>
      </c>
      <c r="F176" s="3" t="s">
        <v>1896</v>
      </c>
      <c r="G176" s="3" t="s">
        <v>1541</v>
      </c>
      <c r="H176" s="3" t="s">
        <v>1542</v>
      </c>
      <c r="I176" s="3" t="s">
        <v>1543</v>
      </c>
      <c r="J176" s="3" t="s">
        <v>1544</v>
      </c>
      <c r="K176" s="3" t="s">
        <v>143</v>
      </c>
      <c r="L176" s="3" t="s">
        <v>79</v>
      </c>
    </row>
    <row r="177" spans="1:12" ht="49.5" customHeight="1" x14ac:dyDescent="0.35">
      <c r="A177" s="22" t="s">
        <v>978</v>
      </c>
      <c r="B177" s="3" t="s">
        <v>1897</v>
      </c>
      <c r="C177" s="22">
        <v>0</v>
      </c>
      <c r="D177" s="22" t="s">
        <v>221</v>
      </c>
      <c r="E177" s="3" t="s">
        <v>1898</v>
      </c>
      <c r="F177" s="3" t="s">
        <v>1899</v>
      </c>
      <c r="G177" s="3" t="s">
        <v>1511</v>
      </c>
      <c r="H177" s="3" t="s">
        <v>1900</v>
      </c>
      <c r="I177" s="3" t="s">
        <v>1513</v>
      </c>
      <c r="J177" s="3" t="s">
        <v>1901</v>
      </c>
      <c r="K177" s="3" t="s">
        <v>143</v>
      </c>
      <c r="L177" s="3" t="s">
        <v>79</v>
      </c>
    </row>
    <row r="178" spans="1:12" ht="49.5" customHeight="1" x14ac:dyDescent="0.35">
      <c r="A178" s="24" t="s">
        <v>978</v>
      </c>
      <c r="B178" s="3" t="s">
        <v>1897</v>
      </c>
      <c r="C178" s="24">
        <v>1</v>
      </c>
      <c r="D178" s="24" t="s">
        <v>225</v>
      </c>
      <c r="E178" s="3" t="s">
        <v>1902</v>
      </c>
      <c r="F178" s="3" t="s">
        <v>1903</v>
      </c>
      <c r="G178" s="3" t="s">
        <v>1517</v>
      </c>
      <c r="H178" s="3" t="s">
        <v>1518</v>
      </c>
      <c r="I178" s="3" t="s">
        <v>1519</v>
      </c>
      <c r="J178" s="3" t="s">
        <v>1904</v>
      </c>
      <c r="K178" s="3" t="s">
        <v>143</v>
      </c>
      <c r="L178" s="3" t="s">
        <v>79</v>
      </c>
    </row>
    <row r="179" spans="1:12" ht="49.5" customHeight="1" x14ac:dyDescent="0.35">
      <c r="A179" s="25" t="s">
        <v>978</v>
      </c>
      <c r="B179" s="3" t="s">
        <v>1897</v>
      </c>
      <c r="C179" s="25">
        <v>2</v>
      </c>
      <c r="D179" s="25" t="s">
        <v>229</v>
      </c>
      <c r="E179" s="3" t="s">
        <v>1905</v>
      </c>
      <c r="F179" s="3" t="s">
        <v>1906</v>
      </c>
      <c r="G179" s="3" t="s">
        <v>1523</v>
      </c>
      <c r="H179" s="3" t="s">
        <v>1524</v>
      </c>
      <c r="I179" s="3" t="s">
        <v>1525</v>
      </c>
      <c r="J179" s="3" t="s">
        <v>1526</v>
      </c>
      <c r="K179" s="3" t="s">
        <v>143</v>
      </c>
      <c r="L179" s="3" t="s">
        <v>79</v>
      </c>
    </row>
    <row r="180" spans="1:12" ht="49.5" customHeight="1" x14ac:dyDescent="0.35">
      <c r="A180" s="26" t="s">
        <v>978</v>
      </c>
      <c r="B180" s="23" t="s">
        <v>1897</v>
      </c>
      <c r="C180" s="26">
        <v>3</v>
      </c>
      <c r="D180" s="26" t="s">
        <v>233</v>
      </c>
      <c r="E180" s="23" t="s">
        <v>1907</v>
      </c>
      <c r="F180" s="23" t="s">
        <v>1908</v>
      </c>
      <c r="G180" s="23" t="s">
        <v>1529</v>
      </c>
      <c r="H180" s="23" t="s">
        <v>1530</v>
      </c>
      <c r="I180" s="23" t="s">
        <v>1531</v>
      </c>
      <c r="J180" s="23" t="s">
        <v>1532</v>
      </c>
      <c r="K180" s="23" t="s">
        <v>143</v>
      </c>
      <c r="L180" s="23" t="s">
        <v>79</v>
      </c>
    </row>
    <row r="181" spans="1:12" ht="49.5" customHeight="1" x14ac:dyDescent="0.35">
      <c r="A181" s="27" t="s">
        <v>978</v>
      </c>
      <c r="B181" s="23" t="s">
        <v>1897</v>
      </c>
      <c r="C181" s="27">
        <v>4</v>
      </c>
      <c r="D181" s="27" t="s">
        <v>237</v>
      </c>
      <c r="E181" s="23" t="s">
        <v>1909</v>
      </c>
      <c r="F181" s="23" t="s">
        <v>1910</v>
      </c>
      <c r="G181" s="23" t="s">
        <v>1535</v>
      </c>
      <c r="H181" s="23" t="s">
        <v>1536</v>
      </c>
      <c r="I181" s="23" t="s">
        <v>1537</v>
      </c>
      <c r="J181" s="23" t="s">
        <v>1538</v>
      </c>
      <c r="K181" s="23" t="s">
        <v>143</v>
      </c>
      <c r="L181" s="23" t="s">
        <v>79</v>
      </c>
    </row>
    <row r="182" spans="1:12" ht="49.5" customHeight="1" x14ac:dyDescent="0.35">
      <c r="A182" s="28" t="s">
        <v>978</v>
      </c>
      <c r="B182" s="23" t="s">
        <v>1897</v>
      </c>
      <c r="C182" s="28">
        <v>5</v>
      </c>
      <c r="D182" s="28" t="s">
        <v>241</v>
      </c>
      <c r="E182" s="23" t="s">
        <v>1911</v>
      </c>
      <c r="F182" s="23" t="s">
        <v>1912</v>
      </c>
      <c r="G182" s="23" t="s">
        <v>1541</v>
      </c>
      <c r="H182" s="23" t="s">
        <v>1542</v>
      </c>
      <c r="I182" s="23" t="s">
        <v>1543</v>
      </c>
      <c r="J182" s="23" t="s">
        <v>1544</v>
      </c>
      <c r="K182" s="23" t="s">
        <v>143</v>
      </c>
      <c r="L182" s="23" t="s">
        <v>79</v>
      </c>
    </row>
    <row r="183" spans="1:12" ht="49.5" customHeight="1" x14ac:dyDescent="0.35">
      <c r="A183" s="22" t="s">
        <v>988</v>
      </c>
      <c r="B183" s="23" t="s">
        <v>1913</v>
      </c>
      <c r="C183" s="22">
        <v>0</v>
      </c>
      <c r="D183" s="22" t="s">
        <v>221</v>
      </c>
      <c r="E183" s="23" t="s">
        <v>1914</v>
      </c>
      <c r="F183" s="23" t="s">
        <v>1915</v>
      </c>
      <c r="G183" s="23" t="s">
        <v>1511</v>
      </c>
      <c r="H183" s="23" t="s">
        <v>1916</v>
      </c>
      <c r="I183" s="23" t="s">
        <v>1513</v>
      </c>
      <c r="J183" s="23" t="s">
        <v>1917</v>
      </c>
      <c r="K183" s="23" t="s">
        <v>143</v>
      </c>
      <c r="L183" s="23" t="s">
        <v>79</v>
      </c>
    </row>
    <row r="184" spans="1:12" ht="49.5" customHeight="1" x14ac:dyDescent="0.35">
      <c r="A184" s="24" t="s">
        <v>988</v>
      </c>
      <c r="B184" s="23" t="s">
        <v>1913</v>
      </c>
      <c r="C184" s="24">
        <v>1</v>
      </c>
      <c r="D184" s="24" t="s">
        <v>225</v>
      </c>
      <c r="E184" s="23" t="s">
        <v>1918</v>
      </c>
      <c r="F184" s="23" t="s">
        <v>1919</v>
      </c>
      <c r="G184" s="23" t="s">
        <v>1517</v>
      </c>
      <c r="H184" s="23" t="s">
        <v>1518</v>
      </c>
      <c r="I184" s="23" t="s">
        <v>1519</v>
      </c>
      <c r="J184" s="23" t="s">
        <v>1920</v>
      </c>
      <c r="K184" s="23" t="s">
        <v>143</v>
      </c>
      <c r="L184" s="23" t="s">
        <v>79</v>
      </c>
    </row>
    <row r="185" spans="1:12" ht="49.5" customHeight="1" x14ac:dyDescent="0.35">
      <c r="A185" s="25" t="s">
        <v>988</v>
      </c>
      <c r="B185" s="23" t="s">
        <v>1913</v>
      </c>
      <c r="C185" s="25">
        <v>2</v>
      </c>
      <c r="D185" s="25" t="s">
        <v>229</v>
      </c>
      <c r="E185" s="23" t="s">
        <v>1921</v>
      </c>
      <c r="F185" s="23" t="s">
        <v>1922</v>
      </c>
      <c r="G185" s="23" t="s">
        <v>1523</v>
      </c>
      <c r="H185" s="23" t="s">
        <v>1524</v>
      </c>
      <c r="I185" s="23" t="s">
        <v>1525</v>
      </c>
      <c r="J185" s="23" t="s">
        <v>1526</v>
      </c>
      <c r="K185" s="23" t="s">
        <v>143</v>
      </c>
      <c r="L185" s="23" t="s">
        <v>79</v>
      </c>
    </row>
    <row r="186" spans="1:12" ht="49.5" customHeight="1" x14ac:dyDescent="0.35">
      <c r="A186" s="26" t="s">
        <v>988</v>
      </c>
      <c r="B186" s="3" t="s">
        <v>1913</v>
      </c>
      <c r="C186" s="26">
        <v>3</v>
      </c>
      <c r="D186" s="26" t="s">
        <v>233</v>
      </c>
      <c r="E186" s="3" t="s">
        <v>1923</v>
      </c>
      <c r="F186" s="3" t="s">
        <v>1924</v>
      </c>
      <c r="G186" s="3" t="s">
        <v>1529</v>
      </c>
      <c r="H186" s="3" t="s">
        <v>1530</v>
      </c>
      <c r="I186" s="3" t="s">
        <v>1531</v>
      </c>
      <c r="J186" s="3" t="s">
        <v>1532</v>
      </c>
      <c r="K186" s="3" t="s">
        <v>143</v>
      </c>
      <c r="L186" s="3" t="s">
        <v>79</v>
      </c>
    </row>
    <row r="187" spans="1:12" ht="49.5" customHeight="1" x14ac:dyDescent="0.35">
      <c r="A187" s="27" t="s">
        <v>988</v>
      </c>
      <c r="B187" s="3" t="s">
        <v>1913</v>
      </c>
      <c r="C187" s="27">
        <v>4</v>
      </c>
      <c r="D187" s="27" t="s">
        <v>237</v>
      </c>
      <c r="E187" s="3" t="s">
        <v>1925</v>
      </c>
      <c r="F187" s="3" t="s">
        <v>1926</v>
      </c>
      <c r="G187" s="3" t="s">
        <v>1535</v>
      </c>
      <c r="H187" s="3" t="s">
        <v>1536</v>
      </c>
      <c r="I187" s="3" t="s">
        <v>1537</v>
      </c>
      <c r="J187" s="3" t="s">
        <v>1538</v>
      </c>
      <c r="K187" s="3" t="s">
        <v>143</v>
      </c>
      <c r="L187" s="3" t="s">
        <v>79</v>
      </c>
    </row>
    <row r="188" spans="1:12" ht="49.5" customHeight="1" x14ac:dyDescent="0.35">
      <c r="A188" s="28" t="s">
        <v>988</v>
      </c>
      <c r="B188" s="3" t="s">
        <v>1913</v>
      </c>
      <c r="C188" s="28">
        <v>5</v>
      </c>
      <c r="D188" s="28" t="s">
        <v>241</v>
      </c>
      <c r="E188" s="3" t="s">
        <v>1927</v>
      </c>
      <c r="F188" s="3" t="s">
        <v>1928</v>
      </c>
      <c r="G188" s="3" t="s">
        <v>1541</v>
      </c>
      <c r="H188" s="3" t="s">
        <v>1542</v>
      </c>
      <c r="I188" s="3" t="s">
        <v>1543</v>
      </c>
      <c r="J188" s="3" t="s">
        <v>1544</v>
      </c>
      <c r="K188" s="3" t="s">
        <v>143</v>
      </c>
      <c r="L188" s="3" t="s">
        <v>79</v>
      </c>
    </row>
    <row r="189" spans="1:12" ht="49.5" customHeight="1" x14ac:dyDescent="0.35">
      <c r="A189" s="22" t="s">
        <v>999</v>
      </c>
      <c r="B189" s="3" t="s">
        <v>1929</v>
      </c>
      <c r="C189" s="22">
        <v>0</v>
      </c>
      <c r="D189" s="22" t="s">
        <v>221</v>
      </c>
      <c r="E189" s="3" t="s">
        <v>1930</v>
      </c>
      <c r="F189" s="3" t="s">
        <v>1931</v>
      </c>
      <c r="G189" s="3" t="s">
        <v>1511</v>
      </c>
      <c r="H189" s="3" t="s">
        <v>1932</v>
      </c>
      <c r="I189" s="3" t="s">
        <v>1513</v>
      </c>
      <c r="J189" s="3" t="s">
        <v>1933</v>
      </c>
      <c r="K189" s="3" t="s">
        <v>143</v>
      </c>
      <c r="L189" s="3" t="s">
        <v>79</v>
      </c>
    </row>
    <row r="190" spans="1:12" ht="49.5" customHeight="1" x14ac:dyDescent="0.35">
      <c r="A190" s="24" t="s">
        <v>999</v>
      </c>
      <c r="B190" s="3" t="s">
        <v>1929</v>
      </c>
      <c r="C190" s="24">
        <v>1</v>
      </c>
      <c r="D190" s="24" t="s">
        <v>225</v>
      </c>
      <c r="E190" s="3" t="s">
        <v>1934</v>
      </c>
      <c r="F190" s="3" t="s">
        <v>1935</v>
      </c>
      <c r="G190" s="3" t="s">
        <v>1517</v>
      </c>
      <c r="H190" s="3" t="s">
        <v>1518</v>
      </c>
      <c r="I190" s="3" t="s">
        <v>1519</v>
      </c>
      <c r="J190" s="3" t="s">
        <v>1936</v>
      </c>
      <c r="K190" s="3" t="s">
        <v>143</v>
      </c>
      <c r="L190" s="3" t="s">
        <v>79</v>
      </c>
    </row>
    <row r="191" spans="1:12" ht="49.5" customHeight="1" x14ac:dyDescent="0.35">
      <c r="A191" s="25" t="s">
        <v>999</v>
      </c>
      <c r="B191" s="3" t="s">
        <v>1929</v>
      </c>
      <c r="C191" s="25">
        <v>2</v>
      </c>
      <c r="D191" s="25" t="s">
        <v>229</v>
      </c>
      <c r="E191" s="3" t="s">
        <v>1937</v>
      </c>
      <c r="F191" s="3" t="s">
        <v>1938</v>
      </c>
      <c r="G191" s="3" t="s">
        <v>1523</v>
      </c>
      <c r="H191" s="3" t="s">
        <v>1524</v>
      </c>
      <c r="I191" s="3" t="s">
        <v>1525</v>
      </c>
      <c r="J191" s="3" t="s">
        <v>1526</v>
      </c>
      <c r="K191" s="3" t="s">
        <v>143</v>
      </c>
      <c r="L191" s="3" t="s">
        <v>79</v>
      </c>
    </row>
    <row r="192" spans="1:12" ht="49.5" customHeight="1" x14ac:dyDescent="0.35">
      <c r="A192" s="26" t="s">
        <v>999</v>
      </c>
      <c r="B192" s="23" t="s">
        <v>1929</v>
      </c>
      <c r="C192" s="26">
        <v>3</v>
      </c>
      <c r="D192" s="26" t="s">
        <v>233</v>
      </c>
      <c r="E192" s="23" t="s">
        <v>1939</v>
      </c>
      <c r="F192" s="23" t="s">
        <v>1940</v>
      </c>
      <c r="G192" s="23" t="s">
        <v>1529</v>
      </c>
      <c r="H192" s="23" t="s">
        <v>1530</v>
      </c>
      <c r="I192" s="23" t="s">
        <v>1531</v>
      </c>
      <c r="J192" s="23" t="s">
        <v>1532</v>
      </c>
      <c r="K192" s="23" t="s">
        <v>143</v>
      </c>
      <c r="L192" s="23" t="s">
        <v>79</v>
      </c>
    </row>
    <row r="193" spans="1:12" ht="49.5" customHeight="1" x14ac:dyDescent="0.35">
      <c r="A193" s="27" t="s">
        <v>999</v>
      </c>
      <c r="B193" s="23" t="s">
        <v>1929</v>
      </c>
      <c r="C193" s="27">
        <v>4</v>
      </c>
      <c r="D193" s="27" t="s">
        <v>237</v>
      </c>
      <c r="E193" s="23" t="s">
        <v>1941</v>
      </c>
      <c r="F193" s="23" t="s">
        <v>1942</v>
      </c>
      <c r="G193" s="23" t="s">
        <v>1535</v>
      </c>
      <c r="H193" s="23" t="s">
        <v>1536</v>
      </c>
      <c r="I193" s="23" t="s">
        <v>1537</v>
      </c>
      <c r="J193" s="23" t="s">
        <v>1538</v>
      </c>
      <c r="K193" s="23" t="s">
        <v>143</v>
      </c>
      <c r="L193" s="23" t="s">
        <v>79</v>
      </c>
    </row>
    <row r="194" spans="1:12" ht="49.5" customHeight="1" x14ac:dyDescent="0.35">
      <c r="A194" s="28" t="s">
        <v>999</v>
      </c>
      <c r="B194" s="23" t="s">
        <v>1929</v>
      </c>
      <c r="C194" s="28">
        <v>5</v>
      </c>
      <c r="D194" s="28" t="s">
        <v>241</v>
      </c>
      <c r="E194" s="23" t="s">
        <v>1943</v>
      </c>
      <c r="F194" s="23" t="s">
        <v>1944</v>
      </c>
      <c r="G194" s="23" t="s">
        <v>1541</v>
      </c>
      <c r="H194" s="23" t="s">
        <v>1542</v>
      </c>
      <c r="I194" s="23" t="s">
        <v>1543</v>
      </c>
      <c r="J194" s="23" t="s">
        <v>1544</v>
      </c>
      <c r="K194" s="23" t="s">
        <v>143</v>
      </c>
      <c r="L194" s="23" t="s">
        <v>79</v>
      </c>
    </row>
    <row r="195" spans="1:12" ht="49.5" customHeight="1" x14ac:dyDescent="0.35">
      <c r="A195" s="22" t="s">
        <v>1008</v>
      </c>
      <c r="B195" s="23" t="s">
        <v>1945</v>
      </c>
      <c r="C195" s="22">
        <v>0</v>
      </c>
      <c r="D195" s="22" t="s">
        <v>221</v>
      </c>
      <c r="E195" s="23" t="s">
        <v>1946</v>
      </c>
      <c r="F195" s="23" t="s">
        <v>1947</v>
      </c>
      <c r="G195" s="23" t="s">
        <v>1511</v>
      </c>
      <c r="H195" s="23" t="s">
        <v>1948</v>
      </c>
      <c r="I195" s="23" t="s">
        <v>1513</v>
      </c>
      <c r="J195" s="23" t="s">
        <v>1949</v>
      </c>
      <c r="K195" s="23" t="s">
        <v>143</v>
      </c>
      <c r="L195" s="23" t="s">
        <v>79</v>
      </c>
    </row>
    <row r="196" spans="1:12" ht="49.5" customHeight="1" x14ac:dyDescent="0.35">
      <c r="A196" s="24" t="s">
        <v>1008</v>
      </c>
      <c r="B196" s="23" t="s">
        <v>1945</v>
      </c>
      <c r="C196" s="24">
        <v>1</v>
      </c>
      <c r="D196" s="24" t="s">
        <v>225</v>
      </c>
      <c r="E196" s="23" t="s">
        <v>1950</v>
      </c>
      <c r="F196" s="23" t="s">
        <v>1951</v>
      </c>
      <c r="G196" s="23" t="s">
        <v>1517</v>
      </c>
      <c r="H196" s="23" t="s">
        <v>1518</v>
      </c>
      <c r="I196" s="23" t="s">
        <v>1519</v>
      </c>
      <c r="J196" s="23" t="s">
        <v>1952</v>
      </c>
      <c r="K196" s="23" t="s">
        <v>143</v>
      </c>
      <c r="L196" s="23" t="s">
        <v>79</v>
      </c>
    </row>
    <row r="197" spans="1:12" ht="49.5" customHeight="1" x14ac:dyDescent="0.35">
      <c r="A197" s="25" t="s">
        <v>1008</v>
      </c>
      <c r="B197" s="23" t="s">
        <v>1945</v>
      </c>
      <c r="C197" s="25">
        <v>2</v>
      </c>
      <c r="D197" s="25" t="s">
        <v>229</v>
      </c>
      <c r="E197" s="23" t="s">
        <v>1953</v>
      </c>
      <c r="F197" s="23" t="s">
        <v>1954</v>
      </c>
      <c r="G197" s="23" t="s">
        <v>1523</v>
      </c>
      <c r="H197" s="23" t="s">
        <v>1524</v>
      </c>
      <c r="I197" s="23" t="s">
        <v>1525</v>
      </c>
      <c r="J197" s="23" t="s">
        <v>1526</v>
      </c>
      <c r="K197" s="23" t="s">
        <v>143</v>
      </c>
      <c r="L197" s="23" t="s">
        <v>79</v>
      </c>
    </row>
    <row r="198" spans="1:12" ht="49.5" customHeight="1" x14ac:dyDescent="0.35">
      <c r="A198" s="26" t="s">
        <v>1008</v>
      </c>
      <c r="B198" s="3" t="s">
        <v>1945</v>
      </c>
      <c r="C198" s="26">
        <v>3</v>
      </c>
      <c r="D198" s="26" t="s">
        <v>233</v>
      </c>
      <c r="E198" s="3" t="s">
        <v>1955</v>
      </c>
      <c r="F198" s="3" t="s">
        <v>1956</v>
      </c>
      <c r="G198" s="3" t="s">
        <v>1529</v>
      </c>
      <c r="H198" s="3" t="s">
        <v>1530</v>
      </c>
      <c r="I198" s="3" t="s">
        <v>1531</v>
      </c>
      <c r="J198" s="3" t="s">
        <v>1532</v>
      </c>
      <c r="K198" s="3" t="s">
        <v>143</v>
      </c>
      <c r="L198" s="3" t="s">
        <v>79</v>
      </c>
    </row>
    <row r="199" spans="1:12" ht="49.5" customHeight="1" x14ac:dyDescent="0.35">
      <c r="A199" s="27" t="s">
        <v>1008</v>
      </c>
      <c r="B199" s="3" t="s">
        <v>1945</v>
      </c>
      <c r="C199" s="27">
        <v>4</v>
      </c>
      <c r="D199" s="27" t="s">
        <v>237</v>
      </c>
      <c r="E199" s="3" t="s">
        <v>1957</v>
      </c>
      <c r="F199" s="3" t="s">
        <v>1958</v>
      </c>
      <c r="G199" s="3" t="s">
        <v>1535</v>
      </c>
      <c r="H199" s="3" t="s">
        <v>1536</v>
      </c>
      <c r="I199" s="3" t="s">
        <v>1537</v>
      </c>
      <c r="J199" s="3" t="s">
        <v>1538</v>
      </c>
      <c r="K199" s="3" t="s">
        <v>143</v>
      </c>
      <c r="L199" s="3" t="s">
        <v>79</v>
      </c>
    </row>
    <row r="200" spans="1:12" ht="49.5" customHeight="1" x14ac:dyDescent="0.35">
      <c r="A200" s="28" t="s">
        <v>1008</v>
      </c>
      <c r="B200" s="3" t="s">
        <v>1945</v>
      </c>
      <c r="C200" s="28">
        <v>5</v>
      </c>
      <c r="D200" s="28" t="s">
        <v>241</v>
      </c>
      <c r="E200" s="3" t="s">
        <v>1959</v>
      </c>
      <c r="F200" s="3" t="s">
        <v>1960</v>
      </c>
      <c r="G200" s="3" t="s">
        <v>1541</v>
      </c>
      <c r="H200" s="3" t="s">
        <v>1542</v>
      </c>
      <c r="I200" s="3" t="s">
        <v>1543</v>
      </c>
      <c r="J200" s="3" t="s">
        <v>1544</v>
      </c>
      <c r="K200" s="3" t="s">
        <v>143</v>
      </c>
      <c r="L200" s="3" t="s">
        <v>79</v>
      </c>
    </row>
    <row r="201" spans="1:12" ht="49.5" customHeight="1" x14ac:dyDescent="0.35">
      <c r="A201" s="22" t="s">
        <v>1018</v>
      </c>
      <c r="B201" s="3" t="s">
        <v>1961</v>
      </c>
      <c r="C201" s="22">
        <v>0</v>
      </c>
      <c r="D201" s="22" t="s">
        <v>221</v>
      </c>
      <c r="E201" s="3" t="s">
        <v>1962</v>
      </c>
      <c r="F201" s="3" t="s">
        <v>1963</v>
      </c>
      <c r="G201" s="3" t="s">
        <v>1511</v>
      </c>
      <c r="H201" s="3" t="s">
        <v>1964</v>
      </c>
      <c r="I201" s="3" t="s">
        <v>1513</v>
      </c>
      <c r="J201" s="3" t="s">
        <v>1965</v>
      </c>
      <c r="K201" s="3" t="s">
        <v>143</v>
      </c>
      <c r="L201" s="3" t="s">
        <v>79</v>
      </c>
    </row>
    <row r="202" spans="1:12" ht="49.5" customHeight="1" x14ac:dyDescent="0.35">
      <c r="A202" s="24" t="s">
        <v>1018</v>
      </c>
      <c r="B202" s="3" t="s">
        <v>1961</v>
      </c>
      <c r="C202" s="24">
        <v>1</v>
      </c>
      <c r="D202" s="24" t="s">
        <v>225</v>
      </c>
      <c r="E202" s="3" t="s">
        <v>1966</v>
      </c>
      <c r="F202" s="3" t="s">
        <v>1967</v>
      </c>
      <c r="G202" s="3" t="s">
        <v>1517</v>
      </c>
      <c r="H202" s="3" t="s">
        <v>1518</v>
      </c>
      <c r="I202" s="3" t="s">
        <v>1519</v>
      </c>
      <c r="J202" s="3" t="s">
        <v>1968</v>
      </c>
      <c r="K202" s="3" t="s">
        <v>143</v>
      </c>
      <c r="L202" s="3" t="s">
        <v>79</v>
      </c>
    </row>
    <row r="203" spans="1:12" ht="49.5" customHeight="1" x14ac:dyDescent="0.35">
      <c r="A203" s="25" t="s">
        <v>1018</v>
      </c>
      <c r="B203" s="3" t="s">
        <v>1961</v>
      </c>
      <c r="C203" s="25">
        <v>2</v>
      </c>
      <c r="D203" s="25" t="s">
        <v>229</v>
      </c>
      <c r="E203" s="3" t="s">
        <v>1969</v>
      </c>
      <c r="F203" s="3" t="s">
        <v>1970</v>
      </c>
      <c r="G203" s="3" t="s">
        <v>1523</v>
      </c>
      <c r="H203" s="3" t="s">
        <v>1524</v>
      </c>
      <c r="I203" s="3" t="s">
        <v>1525</v>
      </c>
      <c r="J203" s="3" t="s">
        <v>1526</v>
      </c>
      <c r="K203" s="3" t="s">
        <v>143</v>
      </c>
      <c r="L203" s="3" t="s">
        <v>79</v>
      </c>
    </row>
    <row r="204" spans="1:12" ht="49.5" customHeight="1" x14ac:dyDescent="0.35">
      <c r="A204" s="26" t="s">
        <v>1018</v>
      </c>
      <c r="B204" s="23" t="s">
        <v>1961</v>
      </c>
      <c r="C204" s="26">
        <v>3</v>
      </c>
      <c r="D204" s="26" t="s">
        <v>233</v>
      </c>
      <c r="E204" s="23" t="s">
        <v>1971</v>
      </c>
      <c r="F204" s="23" t="s">
        <v>1972</v>
      </c>
      <c r="G204" s="23" t="s">
        <v>1529</v>
      </c>
      <c r="H204" s="23" t="s">
        <v>1530</v>
      </c>
      <c r="I204" s="23" t="s">
        <v>1531</v>
      </c>
      <c r="J204" s="23" t="s">
        <v>1532</v>
      </c>
      <c r="K204" s="23" t="s">
        <v>143</v>
      </c>
      <c r="L204" s="23" t="s">
        <v>79</v>
      </c>
    </row>
    <row r="205" spans="1:12" ht="49.5" customHeight="1" x14ac:dyDescent="0.35">
      <c r="A205" s="27" t="s">
        <v>1018</v>
      </c>
      <c r="B205" s="23" t="s">
        <v>1961</v>
      </c>
      <c r="C205" s="27">
        <v>4</v>
      </c>
      <c r="D205" s="27" t="s">
        <v>237</v>
      </c>
      <c r="E205" s="23" t="s">
        <v>1973</v>
      </c>
      <c r="F205" s="23" t="s">
        <v>1974</v>
      </c>
      <c r="G205" s="23" t="s">
        <v>1535</v>
      </c>
      <c r="H205" s="23" t="s">
        <v>1536</v>
      </c>
      <c r="I205" s="23" t="s">
        <v>1537</v>
      </c>
      <c r="J205" s="23" t="s">
        <v>1538</v>
      </c>
      <c r="K205" s="23" t="s">
        <v>143</v>
      </c>
      <c r="L205" s="23" t="s">
        <v>79</v>
      </c>
    </row>
    <row r="206" spans="1:12" ht="49.5" customHeight="1" x14ac:dyDescent="0.35">
      <c r="A206" s="28" t="s">
        <v>1018</v>
      </c>
      <c r="B206" s="23" t="s">
        <v>1961</v>
      </c>
      <c r="C206" s="28">
        <v>5</v>
      </c>
      <c r="D206" s="28" t="s">
        <v>241</v>
      </c>
      <c r="E206" s="23" t="s">
        <v>1975</v>
      </c>
      <c r="F206" s="23" t="s">
        <v>1976</v>
      </c>
      <c r="G206" s="23" t="s">
        <v>1541</v>
      </c>
      <c r="H206" s="23" t="s">
        <v>1542</v>
      </c>
      <c r="I206" s="23" t="s">
        <v>1543</v>
      </c>
      <c r="J206" s="23" t="s">
        <v>1544</v>
      </c>
      <c r="K206" s="23" t="s">
        <v>143</v>
      </c>
      <c r="L206" s="23" t="s">
        <v>79</v>
      </c>
    </row>
    <row r="207" spans="1:12" ht="49.5" customHeight="1" x14ac:dyDescent="0.35">
      <c r="A207" s="22" t="s">
        <v>1027</v>
      </c>
      <c r="B207" s="23" t="s">
        <v>1977</v>
      </c>
      <c r="C207" s="22">
        <v>0</v>
      </c>
      <c r="D207" s="22" t="s">
        <v>221</v>
      </c>
      <c r="E207" s="23" t="s">
        <v>1978</v>
      </c>
      <c r="F207" s="23" t="s">
        <v>1979</v>
      </c>
      <c r="G207" s="23" t="s">
        <v>1511</v>
      </c>
      <c r="H207" s="23" t="s">
        <v>1980</v>
      </c>
      <c r="I207" s="23" t="s">
        <v>1513</v>
      </c>
      <c r="J207" s="23" t="s">
        <v>1981</v>
      </c>
      <c r="K207" s="23" t="s">
        <v>143</v>
      </c>
      <c r="L207" s="23" t="s">
        <v>79</v>
      </c>
    </row>
    <row r="208" spans="1:12" ht="49.5" customHeight="1" x14ac:dyDescent="0.35">
      <c r="A208" s="24" t="s">
        <v>1027</v>
      </c>
      <c r="B208" s="23" t="s">
        <v>1977</v>
      </c>
      <c r="C208" s="24">
        <v>1</v>
      </c>
      <c r="D208" s="24" t="s">
        <v>225</v>
      </c>
      <c r="E208" s="23" t="s">
        <v>1982</v>
      </c>
      <c r="F208" s="23" t="s">
        <v>1983</v>
      </c>
      <c r="G208" s="23" t="s">
        <v>1517</v>
      </c>
      <c r="H208" s="23" t="s">
        <v>1518</v>
      </c>
      <c r="I208" s="23" t="s">
        <v>1519</v>
      </c>
      <c r="J208" s="23" t="s">
        <v>1984</v>
      </c>
      <c r="K208" s="23" t="s">
        <v>143</v>
      </c>
      <c r="L208" s="23" t="s">
        <v>79</v>
      </c>
    </row>
    <row r="209" spans="1:12" ht="49.5" customHeight="1" x14ac:dyDescent="0.35">
      <c r="A209" s="25" t="s">
        <v>1027</v>
      </c>
      <c r="B209" s="23" t="s">
        <v>1977</v>
      </c>
      <c r="C209" s="25">
        <v>2</v>
      </c>
      <c r="D209" s="25" t="s">
        <v>229</v>
      </c>
      <c r="E209" s="23" t="s">
        <v>1985</v>
      </c>
      <c r="F209" s="23" t="s">
        <v>1986</v>
      </c>
      <c r="G209" s="23" t="s">
        <v>1523</v>
      </c>
      <c r="H209" s="23" t="s">
        <v>1524</v>
      </c>
      <c r="I209" s="23" t="s">
        <v>1525</v>
      </c>
      <c r="J209" s="23" t="s">
        <v>1526</v>
      </c>
      <c r="K209" s="23" t="s">
        <v>143</v>
      </c>
      <c r="L209" s="23" t="s">
        <v>79</v>
      </c>
    </row>
    <row r="210" spans="1:12" ht="49.5" customHeight="1" x14ac:dyDescent="0.35">
      <c r="A210" s="26" t="s">
        <v>1027</v>
      </c>
      <c r="B210" s="3" t="s">
        <v>1977</v>
      </c>
      <c r="C210" s="26">
        <v>3</v>
      </c>
      <c r="D210" s="26" t="s">
        <v>233</v>
      </c>
      <c r="E210" s="3" t="s">
        <v>1987</v>
      </c>
      <c r="F210" s="3" t="s">
        <v>1988</v>
      </c>
      <c r="G210" s="3" t="s">
        <v>1529</v>
      </c>
      <c r="H210" s="3" t="s">
        <v>1530</v>
      </c>
      <c r="I210" s="3" t="s">
        <v>1531</v>
      </c>
      <c r="J210" s="3" t="s">
        <v>1532</v>
      </c>
      <c r="K210" s="3" t="s">
        <v>143</v>
      </c>
      <c r="L210" s="3" t="s">
        <v>79</v>
      </c>
    </row>
    <row r="211" spans="1:12" ht="49.5" customHeight="1" x14ac:dyDescent="0.35">
      <c r="A211" s="27" t="s">
        <v>1027</v>
      </c>
      <c r="B211" s="3" t="s">
        <v>1977</v>
      </c>
      <c r="C211" s="27">
        <v>4</v>
      </c>
      <c r="D211" s="27" t="s">
        <v>237</v>
      </c>
      <c r="E211" s="3" t="s">
        <v>1989</v>
      </c>
      <c r="F211" s="3" t="s">
        <v>1990</v>
      </c>
      <c r="G211" s="3" t="s">
        <v>1535</v>
      </c>
      <c r="H211" s="3" t="s">
        <v>1536</v>
      </c>
      <c r="I211" s="3" t="s">
        <v>1537</v>
      </c>
      <c r="J211" s="3" t="s">
        <v>1538</v>
      </c>
      <c r="K211" s="3" t="s">
        <v>143</v>
      </c>
      <c r="L211" s="3" t="s">
        <v>79</v>
      </c>
    </row>
    <row r="212" spans="1:12" ht="49.5" customHeight="1" x14ac:dyDescent="0.35">
      <c r="A212" s="28" t="s">
        <v>1027</v>
      </c>
      <c r="B212" s="3" t="s">
        <v>1977</v>
      </c>
      <c r="C212" s="28">
        <v>5</v>
      </c>
      <c r="D212" s="28" t="s">
        <v>241</v>
      </c>
      <c r="E212" s="3" t="s">
        <v>1991</v>
      </c>
      <c r="F212" s="3" t="s">
        <v>1992</v>
      </c>
      <c r="G212" s="3" t="s">
        <v>1541</v>
      </c>
      <c r="H212" s="3" t="s">
        <v>1542</v>
      </c>
      <c r="I212" s="3" t="s">
        <v>1543</v>
      </c>
      <c r="J212" s="3" t="s">
        <v>1544</v>
      </c>
      <c r="K212" s="3" t="s">
        <v>143</v>
      </c>
      <c r="L212" s="3" t="s">
        <v>79</v>
      </c>
    </row>
    <row r="213" spans="1:12" ht="49.5" customHeight="1" x14ac:dyDescent="0.35">
      <c r="A213" s="22" t="s">
        <v>1037</v>
      </c>
      <c r="B213" s="3" t="s">
        <v>1993</v>
      </c>
      <c r="C213" s="22">
        <v>0</v>
      </c>
      <c r="D213" s="22" t="s">
        <v>221</v>
      </c>
      <c r="E213" s="3" t="s">
        <v>1994</v>
      </c>
      <c r="F213" s="3" t="s">
        <v>1995</v>
      </c>
      <c r="G213" s="3" t="s">
        <v>1511</v>
      </c>
      <c r="H213" s="3" t="s">
        <v>1996</v>
      </c>
      <c r="I213" s="3" t="s">
        <v>1513</v>
      </c>
      <c r="J213" s="3" t="s">
        <v>1997</v>
      </c>
      <c r="K213" s="3" t="s">
        <v>143</v>
      </c>
      <c r="L213" s="3" t="s">
        <v>79</v>
      </c>
    </row>
    <row r="214" spans="1:12" ht="49.5" customHeight="1" x14ac:dyDescent="0.35">
      <c r="A214" s="24" t="s">
        <v>1037</v>
      </c>
      <c r="B214" s="3" t="s">
        <v>1993</v>
      </c>
      <c r="C214" s="24">
        <v>1</v>
      </c>
      <c r="D214" s="24" t="s">
        <v>225</v>
      </c>
      <c r="E214" s="3" t="s">
        <v>1998</v>
      </c>
      <c r="F214" s="3" t="s">
        <v>1999</v>
      </c>
      <c r="G214" s="3" t="s">
        <v>1517</v>
      </c>
      <c r="H214" s="3" t="s">
        <v>1518</v>
      </c>
      <c r="I214" s="3" t="s">
        <v>1519</v>
      </c>
      <c r="J214" s="3" t="s">
        <v>2000</v>
      </c>
      <c r="K214" s="3" t="s">
        <v>143</v>
      </c>
      <c r="L214" s="3" t="s">
        <v>79</v>
      </c>
    </row>
    <row r="215" spans="1:12" ht="49.5" customHeight="1" x14ac:dyDescent="0.35">
      <c r="A215" s="25" t="s">
        <v>1037</v>
      </c>
      <c r="B215" s="3" t="s">
        <v>1993</v>
      </c>
      <c r="C215" s="25">
        <v>2</v>
      </c>
      <c r="D215" s="25" t="s">
        <v>229</v>
      </c>
      <c r="E215" s="3" t="s">
        <v>2001</v>
      </c>
      <c r="F215" s="3" t="s">
        <v>2002</v>
      </c>
      <c r="G215" s="3" t="s">
        <v>1523</v>
      </c>
      <c r="H215" s="3" t="s">
        <v>1524</v>
      </c>
      <c r="I215" s="3" t="s">
        <v>1525</v>
      </c>
      <c r="J215" s="3" t="s">
        <v>1526</v>
      </c>
      <c r="K215" s="3" t="s">
        <v>143</v>
      </c>
      <c r="L215" s="3" t="s">
        <v>79</v>
      </c>
    </row>
    <row r="216" spans="1:12" ht="49.5" customHeight="1" x14ac:dyDescent="0.35">
      <c r="A216" s="26" t="s">
        <v>1037</v>
      </c>
      <c r="B216" s="23" t="s">
        <v>1993</v>
      </c>
      <c r="C216" s="26">
        <v>3</v>
      </c>
      <c r="D216" s="26" t="s">
        <v>233</v>
      </c>
      <c r="E216" s="23" t="s">
        <v>2003</v>
      </c>
      <c r="F216" s="23" t="s">
        <v>2004</v>
      </c>
      <c r="G216" s="23" t="s">
        <v>1529</v>
      </c>
      <c r="H216" s="23" t="s">
        <v>1530</v>
      </c>
      <c r="I216" s="23" t="s">
        <v>1531</v>
      </c>
      <c r="J216" s="23" t="s">
        <v>1532</v>
      </c>
      <c r="K216" s="23" t="s">
        <v>143</v>
      </c>
      <c r="L216" s="23" t="s">
        <v>79</v>
      </c>
    </row>
    <row r="217" spans="1:12" ht="49.5" customHeight="1" x14ac:dyDescent="0.35">
      <c r="A217" s="27" t="s">
        <v>1037</v>
      </c>
      <c r="B217" s="23" t="s">
        <v>1993</v>
      </c>
      <c r="C217" s="27">
        <v>4</v>
      </c>
      <c r="D217" s="27" t="s">
        <v>237</v>
      </c>
      <c r="E217" s="23" t="s">
        <v>2005</v>
      </c>
      <c r="F217" s="23" t="s">
        <v>2006</v>
      </c>
      <c r="G217" s="23" t="s">
        <v>1535</v>
      </c>
      <c r="H217" s="23" t="s">
        <v>1536</v>
      </c>
      <c r="I217" s="23" t="s">
        <v>1537</v>
      </c>
      <c r="J217" s="23" t="s">
        <v>1538</v>
      </c>
      <c r="K217" s="23" t="s">
        <v>143</v>
      </c>
      <c r="L217" s="23" t="s">
        <v>79</v>
      </c>
    </row>
    <row r="218" spans="1:12" ht="49.5" customHeight="1" x14ac:dyDescent="0.35">
      <c r="A218" s="28" t="s">
        <v>1037</v>
      </c>
      <c r="B218" s="23" t="s">
        <v>1993</v>
      </c>
      <c r="C218" s="28">
        <v>5</v>
      </c>
      <c r="D218" s="28" t="s">
        <v>241</v>
      </c>
      <c r="E218" s="23" t="s">
        <v>2007</v>
      </c>
      <c r="F218" s="23" t="s">
        <v>2008</v>
      </c>
      <c r="G218" s="23" t="s">
        <v>1541</v>
      </c>
      <c r="H218" s="23" t="s">
        <v>1542</v>
      </c>
      <c r="I218" s="23" t="s">
        <v>1543</v>
      </c>
      <c r="J218" s="23" t="s">
        <v>1544</v>
      </c>
      <c r="K218" s="23" t="s">
        <v>143</v>
      </c>
      <c r="L218" s="23" t="s">
        <v>79</v>
      </c>
    </row>
    <row r="219" spans="1:12" ht="49.5" customHeight="1" x14ac:dyDescent="0.35">
      <c r="A219" s="22" t="s">
        <v>1048</v>
      </c>
      <c r="B219" s="23" t="s">
        <v>2009</v>
      </c>
      <c r="C219" s="22">
        <v>0</v>
      </c>
      <c r="D219" s="22" t="s">
        <v>221</v>
      </c>
      <c r="E219" s="23" t="s">
        <v>2010</v>
      </c>
      <c r="F219" s="23" t="s">
        <v>2011</v>
      </c>
      <c r="G219" s="23" t="s">
        <v>1511</v>
      </c>
      <c r="H219" s="23" t="s">
        <v>2012</v>
      </c>
      <c r="I219" s="23" t="s">
        <v>1513</v>
      </c>
      <c r="J219" s="23" t="s">
        <v>2013</v>
      </c>
      <c r="K219" s="23" t="s">
        <v>143</v>
      </c>
      <c r="L219" s="23" t="s">
        <v>79</v>
      </c>
    </row>
    <row r="220" spans="1:12" ht="49.5" customHeight="1" x14ac:dyDescent="0.35">
      <c r="A220" s="24" t="s">
        <v>1048</v>
      </c>
      <c r="B220" s="23" t="s">
        <v>2009</v>
      </c>
      <c r="C220" s="24">
        <v>1</v>
      </c>
      <c r="D220" s="24" t="s">
        <v>225</v>
      </c>
      <c r="E220" s="23" t="s">
        <v>2014</v>
      </c>
      <c r="F220" s="23" t="s">
        <v>2015</v>
      </c>
      <c r="G220" s="23" t="s">
        <v>1517</v>
      </c>
      <c r="H220" s="23" t="s">
        <v>1518</v>
      </c>
      <c r="I220" s="23" t="s">
        <v>1519</v>
      </c>
      <c r="J220" s="23" t="s">
        <v>2016</v>
      </c>
      <c r="K220" s="23" t="s">
        <v>143</v>
      </c>
      <c r="L220" s="23" t="s">
        <v>79</v>
      </c>
    </row>
    <row r="221" spans="1:12" ht="49.5" customHeight="1" x14ac:dyDescent="0.35">
      <c r="A221" s="25" t="s">
        <v>1048</v>
      </c>
      <c r="B221" s="23" t="s">
        <v>2009</v>
      </c>
      <c r="C221" s="25">
        <v>2</v>
      </c>
      <c r="D221" s="25" t="s">
        <v>229</v>
      </c>
      <c r="E221" s="23" t="s">
        <v>2017</v>
      </c>
      <c r="F221" s="23" t="s">
        <v>2018</v>
      </c>
      <c r="G221" s="23" t="s">
        <v>1523</v>
      </c>
      <c r="H221" s="23" t="s">
        <v>1524</v>
      </c>
      <c r="I221" s="23" t="s">
        <v>1525</v>
      </c>
      <c r="J221" s="23" t="s">
        <v>1526</v>
      </c>
      <c r="K221" s="23" t="s">
        <v>143</v>
      </c>
      <c r="L221" s="23" t="s">
        <v>79</v>
      </c>
    </row>
    <row r="222" spans="1:12" ht="49.5" customHeight="1" x14ac:dyDescent="0.35">
      <c r="A222" s="26" t="s">
        <v>1048</v>
      </c>
      <c r="B222" s="3" t="s">
        <v>2009</v>
      </c>
      <c r="C222" s="26">
        <v>3</v>
      </c>
      <c r="D222" s="26" t="s">
        <v>233</v>
      </c>
      <c r="E222" s="3" t="s">
        <v>2019</v>
      </c>
      <c r="F222" s="3" t="s">
        <v>2020</v>
      </c>
      <c r="G222" s="3" t="s">
        <v>1529</v>
      </c>
      <c r="H222" s="3" t="s">
        <v>1530</v>
      </c>
      <c r="I222" s="3" t="s">
        <v>1531</v>
      </c>
      <c r="J222" s="3" t="s">
        <v>1532</v>
      </c>
      <c r="K222" s="3" t="s">
        <v>143</v>
      </c>
      <c r="L222" s="3" t="s">
        <v>79</v>
      </c>
    </row>
    <row r="223" spans="1:12" ht="49.5" customHeight="1" x14ac:dyDescent="0.35">
      <c r="A223" s="27" t="s">
        <v>1048</v>
      </c>
      <c r="B223" s="3" t="s">
        <v>2009</v>
      </c>
      <c r="C223" s="27">
        <v>4</v>
      </c>
      <c r="D223" s="27" t="s">
        <v>237</v>
      </c>
      <c r="E223" s="3" t="s">
        <v>2021</v>
      </c>
      <c r="F223" s="3" t="s">
        <v>2022</v>
      </c>
      <c r="G223" s="3" t="s">
        <v>1535</v>
      </c>
      <c r="H223" s="3" t="s">
        <v>1536</v>
      </c>
      <c r="I223" s="3" t="s">
        <v>1537</v>
      </c>
      <c r="J223" s="3" t="s">
        <v>1538</v>
      </c>
      <c r="K223" s="3" t="s">
        <v>143</v>
      </c>
      <c r="L223" s="3" t="s">
        <v>79</v>
      </c>
    </row>
    <row r="224" spans="1:12" ht="49.5" customHeight="1" x14ac:dyDescent="0.35">
      <c r="A224" s="28" t="s">
        <v>1048</v>
      </c>
      <c r="B224" s="3" t="s">
        <v>2009</v>
      </c>
      <c r="C224" s="28">
        <v>5</v>
      </c>
      <c r="D224" s="28" t="s">
        <v>241</v>
      </c>
      <c r="E224" s="3" t="s">
        <v>2023</v>
      </c>
      <c r="F224" s="3" t="s">
        <v>2024</v>
      </c>
      <c r="G224" s="3" t="s">
        <v>1541</v>
      </c>
      <c r="H224" s="3" t="s">
        <v>1542</v>
      </c>
      <c r="I224" s="3" t="s">
        <v>1543</v>
      </c>
      <c r="J224" s="3" t="s">
        <v>1544</v>
      </c>
      <c r="K224" s="3" t="s">
        <v>143</v>
      </c>
      <c r="L224" s="3" t="s">
        <v>79</v>
      </c>
    </row>
    <row r="225" spans="1:12" ht="49.5" customHeight="1" x14ac:dyDescent="0.35">
      <c r="A225" s="22" t="s">
        <v>1059</v>
      </c>
      <c r="B225" s="3" t="s">
        <v>2025</v>
      </c>
      <c r="C225" s="22">
        <v>0</v>
      </c>
      <c r="D225" s="22" t="s">
        <v>221</v>
      </c>
      <c r="E225" s="3" t="s">
        <v>2026</v>
      </c>
      <c r="F225" s="3" t="s">
        <v>2027</v>
      </c>
      <c r="G225" s="3" t="s">
        <v>1511</v>
      </c>
      <c r="H225" s="3" t="s">
        <v>2028</v>
      </c>
      <c r="I225" s="3" t="s">
        <v>1513</v>
      </c>
      <c r="J225" s="3" t="s">
        <v>2029</v>
      </c>
      <c r="K225" s="3" t="s">
        <v>143</v>
      </c>
      <c r="L225" s="3" t="s">
        <v>79</v>
      </c>
    </row>
    <row r="226" spans="1:12" ht="49.5" customHeight="1" x14ac:dyDescent="0.35">
      <c r="A226" s="24" t="s">
        <v>1059</v>
      </c>
      <c r="B226" s="3" t="s">
        <v>2025</v>
      </c>
      <c r="C226" s="24">
        <v>1</v>
      </c>
      <c r="D226" s="24" t="s">
        <v>225</v>
      </c>
      <c r="E226" s="3" t="s">
        <v>2030</v>
      </c>
      <c r="F226" s="3" t="s">
        <v>2031</v>
      </c>
      <c r="G226" s="3" t="s">
        <v>1517</v>
      </c>
      <c r="H226" s="3" t="s">
        <v>1518</v>
      </c>
      <c r="I226" s="3" t="s">
        <v>1519</v>
      </c>
      <c r="J226" s="3" t="s">
        <v>2032</v>
      </c>
      <c r="K226" s="3" t="s">
        <v>143</v>
      </c>
      <c r="L226" s="3" t="s">
        <v>79</v>
      </c>
    </row>
    <row r="227" spans="1:12" ht="49.5" customHeight="1" x14ac:dyDescent="0.35">
      <c r="A227" s="25" t="s">
        <v>1059</v>
      </c>
      <c r="B227" s="3" t="s">
        <v>2025</v>
      </c>
      <c r="C227" s="25">
        <v>2</v>
      </c>
      <c r="D227" s="25" t="s">
        <v>229</v>
      </c>
      <c r="E227" s="3" t="s">
        <v>2033</v>
      </c>
      <c r="F227" s="3" t="s">
        <v>2034</v>
      </c>
      <c r="G227" s="3" t="s">
        <v>1523</v>
      </c>
      <c r="H227" s="3" t="s">
        <v>1524</v>
      </c>
      <c r="I227" s="3" t="s">
        <v>1525</v>
      </c>
      <c r="J227" s="3" t="s">
        <v>1526</v>
      </c>
      <c r="K227" s="3" t="s">
        <v>143</v>
      </c>
      <c r="L227" s="3" t="s">
        <v>79</v>
      </c>
    </row>
    <row r="228" spans="1:12" ht="49.5" customHeight="1" x14ac:dyDescent="0.35">
      <c r="A228" s="26" t="s">
        <v>1059</v>
      </c>
      <c r="B228" s="23" t="s">
        <v>2025</v>
      </c>
      <c r="C228" s="26">
        <v>3</v>
      </c>
      <c r="D228" s="26" t="s">
        <v>233</v>
      </c>
      <c r="E228" s="23" t="s">
        <v>2035</v>
      </c>
      <c r="F228" s="23" t="s">
        <v>2036</v>
      </c>
      <c r="G228" s="23" t="s">
        <v>1529</v>
      </c>
      <c r="H228" s="23" t="s">
        <v>1530</v>
      </c>
      <c r="I228" s="23" t="s">
        <v>1531</v>
      </c>
      <c r="J228" s="23" t="s">
        <v>1532</v>
      </c>
      <c r="K228" s="23" t="s">
        <v>143</v>
      </c>
      <c r="L228" s="23" t="s">
        <v>79</v>
      </c>
    </row>
    <row r="229" spans="1:12" ht="49.5" customHeight="1" x14ac:dyDescent="0.35">
      <c r="A229" s="27" t="s">
        <v>1059</v>
      </c>
      <c r="B229" s="23" t="s">
        <v>2025</v>
      </c>
      <c r="C229" s="27">
        <v>4</v>
      </c>
      <c r="D229" s="27" t="s">
        <v>237</v>
      </c>
      <c r="E229" s="23" t="s">
        <v>2037</v>
      </c>
      <c r="F229" s="23" t="s">
        <v>2038</v>
      </c>
      <c r="G229" s="23" t="s">
        <v>1535</v>
      </c>
      <c r="H229" s="23" t="s">
        <v>1536</v>
      </c>
      <c r="I229" s="23" t="s">
        <v>1537</v>
      </c>
      <c r="J229" s="23" t="s">
        <v>1538</v>
      </c>
      <c r="K229" s="23" t="s">
        <v>143</v>
      </c>
      <c r="L229" s="23" t="s">
        <v>79</v>
      </c>
    </row>
    <row r="230" spans="1:12" ht="49.5" customHeight="1" x14ac:dyDescent="0.35">
      <c r="A230" s="28" t="s">
        <v>1059</v>
      </c>
      <c r="B230" s="23" t="s">
        <v>2025</v>
      </c>
      <c r="C230" s="28">
        <v>5</v>
      </c>
      <c r="D230" s="28" t="s">
        <v>241</v>
      </c>
      <c r="E230" s="23" t="s">
        <v>2039</v>
      </c>
      <c r="F230" s="23" t="s">
        <v>2040</v>
      </c>
      <c r="G230" s="23" t="s">
        <v>1541</v>
      </c>
      <c r="H230" s="23" t="s">
        <v>1542</v>
      </c>
      <c r="I230" s="23" t="s">
        <v>1543</v>
      </c>
      <c r="J230" s="23" t="s">
        <v>1544</v>
      </c>
      <c r="K230" s="23" t="s">
        <v>143</v>
      </c>
      <c r="L230" s="23" t="s">
        <v>79</v>
      </c>
    </row>
    <row r="231" spans="1:12" ht="49.5" customHeight="1" x14ac:dyDescent="0.35">
      <c r="A231" s="22" t="s">
        <v>1069</v>
      </c>
      <c r="B231" s="23" t="s">
        <v>2041</v>
      </c>
      <c r="C231" s="22">
        <v>0</v>
      </c>
      <c r="D231" s="22" t="s">
        <v>221</v>
      </c>
      <c r="E231" s="23" t="s">
        <v>2042</v>
      </c>
      <c r="F231" s="23" t="s">
        <v>2043</v>
      </c>
      <c r="G231" s="23" t="s">
        <v>1511</v>
      </c>
      <c r="H231" s="23" t="s">
        <v>2044</v>
      </c>
      <c r="I231" s="23" t="s">
        <v>1513</v>
      </c>
      <c r="J231" s="23" t="s">
        <v>2045</v>
      </c>
      <c r="K231" s="23" t="s">
        <v>143</v>
      </c>
      <c r="L231" s="23" t="s">
        <v>79</v>
      </c>
    </row>
    <row r="232" spans="1:12" ht="49.5" customHeight="1" x14ac:dyDescent="0.35">
      <c r="A232" s="24" t="s">
        <v>1069</v>
      </c>
      <c r="B232" s="23" t="s">
        <v>2041</v>
      </c>
      <c r="C232" s="24">
        <v>1</v>
      </c>
      <c r="D232" s="24" t="s">
        <v>225</v>
      </c>
      <c r="E232" s="23" t="s">
        <v>2046</v>
      </c>
      <c r="F232" s="23" t="s">
        <v>2047</v>
      </c>
      <c r="G232" s="23" t="s">
        <v>1517</v>
      </c>
      <c r="H232" s="23" t="s">
        <v>1518</v>
      </c>
      <c r="I232" s="23" t="s">
        <v>1519</v>
      </c>
      <c r="J232" s="23" t="s">
        <v>2048</v>
      </c>
      <c r="K232" s="23" t="s">
        <v>143</v>
      </c>
      <c r="L232" s="23" t="s">
        <v>79</v>
      </c>
    </row>
    <row r="233" spans="1:12" ht="49.5" customHeight="1" x14ac:dyDescent="0.35">
      <c r="A233" s="25" t="s">
        <v>1069</v>
      </c>
      <c r="B233" s="23" t="s">
        <v>2041</v>
      </c>
      <c r="C233" s="25">
        <v>2</v>
      </c>
      <c r="D233" s="25" t="s">
        <v>229</v>
      </c>
      <c r="E233" s="23" t="s">
        <v>2049</v>
      </c>
      <c r="F233" s="23" t="s">
        <v>2050</v>
      </c>
      <c r="G233" s="23" t="s">
        <v>1523</v>
      </c>
      <c r="H233" s="23" t="s">
        <v>1524</v>
      </c>
      <c r="I233" s="23" t="s">
        <v>1525</v>
      </c>
      <c r="J233" s="23" t="s">
        <v>1526</v>
      </c>
      <c r="K233" s="23" t="s">
        <v>143</v>
      </c>
      <c r="L233" s="23" t="s">
        <v>79</v>
      </c>
    </row>
    <row r="234" spans="1:12" ht="49.5" customHeight="1" x14ac:dyDescent="0.35">
      <c r="A234" s="26" t="s">
        <v>1069</v>
      </c>
      <c r="B234" s="3" t="s">
        <v>2041</v>
      </c>
      <c r="C234" s="26">
        <v>3</v>
      </c>
      <c r="D234" s="26" t="s">
        <v>233</v>
      </c>
      <c r="E234" s="3" t="s">
        <v>2051</v>
      </c>
      <c r="F234" s="3" t="s">
        <v>2052</v>
      </c>
      <c r="G234" s="3" t="s">
        <v>1529</v>
      </c>
      <c r="H234" s="3" t="s">
        <v>1530</v>
      </c>
      <c r="I234" s="3" t="s">
        <v>1531</v>
      </c>
      <c r="J234" s="3" t="s">
        <v>1532</v>
      </c>
      <c r="K234" s="3" t="s">
        <v>143</v>
      </c>
      <c r="L234" s="3" t="s">
        <v>79</v>
      </c>
    </row>
    <row r="235" spans="1:12" ht="49.5" customHeight="1" x14ac:dyDescent="0.35">
      <c r="A235" s="27" t="s">
        <v>1069</v>
      </c>
      <c r="B235" s="3" t="s">
        <v>2041</v>
      </c>
      <c r="C235" s="27">
        <v>4</v>
      </c>
      <c r="D235" s="27" t="s">
        <v>237</v>
      </c>
      <c r="E235" s="3" t="s">
        <v>2053</v>
      </c>
      <c r="F235" s="3" t="s">
        <v>2054</v>
      </c>
      <c r="G235" s="3" t="s">
        <v>1535</v>
      </c>
      <c r="H235" s="3" t="s">
        <v>1536</v>
      </c>
      <c r="I235" s="3" t="s">
        <v>1537</v>
      </c>
      <c r="J235" s="3" t="s">
        <v>1538</v>
      </c>
      <c r="K235" s="3" t="s">
        <v>143</v>
      </c>
      <c r="L235" s="3" t="s">
        <v>79</v>
      </c>
    </row>
    <row r="236" spans="1:12" ht="49.5" customHeight="1" x14ac:dyDescent="0.35">
      <c r="A236" s="28" t="s">
        <v>1069</v>
      </c>
      <c r="B236" s="3" t="s">
        <v>2041</v>
      </c>
      <c r="C236" s="28">
        <v>5</v>
      </c>
      <c r="D236" s="28" t="s">
        <v>241</v>
      </c>
      <c r="E236" s="3" t="s">
        <v>2055</v>
      </c>
      <c r="F236" s="3" t="s">
        <v>2056</v>
      </c>
      <c r="G236" s="3" t="s">
        <v>1541</v>
      </c>
      <c r="H236" s="3" t="s">
        <v>1542</v>
      </c>
      <c r="I236" s="3" t="s">
        <v>1543</v>
      </c>
      <c r="J236" s="3" t="s">
        <v>1544</v>
      </c>
      <c r="K236" s="3" t="s">
        <v>143</v>
      </c>
      <c r="L236" s="3" t="s">
        <v>79</v>
      </c>
    </row>
    <row r="237" spans="1:12" ht="49.5" customHeight="1" x14ac:dyDescent="0.35">
      <c r="A237" s="22" t="s">
        <v>1080</v>
      </c>
      <c r="B237" s="3" t="s">
        <v>2057</v>
      </c>
      <c r="C237" s="22">
        <v>0</v>
      </c>
      <c r="D237" s="22" t="s">
        <v>221</v>
      </c>
      <c r="E237" s="3" t="s">
        <v>2058</v>
      </c>
      <c r="F237" s="3" t="s">
        <v>2059</v>
      </c>
      <c r="G237" s="3" t="s">
        <v>1511</v>
      </c>
      <c r="H237" s="3" t="s">
        <v>2060</v>
      </c>
      <c r="I237" s="3" t="s">
        <v>1513</v>
      </c>
      <c r="J237" s="3" t="s">
        <v>2061</v>
      </c>
      <c r="K237" s="3" t="s">
        <v>143</v>
      </c>
      <c r="L237" s="3" t="s">
        <v>79</v>
      </c>
    </row>
    <row r="238" spans="1:12" ht="49.5" customHeight="1" x14ac:dyDescent="0.35">
      <c r="A238" s="24" t="s">
        <v>1080</v>
      </c>
      <c r="B238" s="3" t="s">
        <v>2057</v>
      </c>
      <c r="C238" s="24">
        <v>1</v>
      </c>
      <c r="D238" s="24" t="s">
        <v>225</v>
      </c>
      <c r="E238" s="3" t="s">
        <v>2062</v>
      </c>
      <c r="F238" s="3" t="s">
        <v>2063</v>
      </c>
      <c r="G238" s="3" t="s">
        <v>1517</v>
      </c>
      <c r="H238" s="3" t="s">
        <v>1518</v>
      </c>
      <c r="I238" s="3" t="s">
        <v>1519</v>
      </c>
      <c r="J238" s="3" t="s">
        <v>2064</v>
      </c>
      <c r="K238" s="3" t="s">
        <v>143</v>
      </c>
      <c r="L238" s="3" t="s">
        <v>79</v>
      </c>
    </row>
    <row r="239" spans="1:12" ht="49.5" customHeight="1" x14ac:dyDescent="0.35">
      <c r="A239" s="25" t="s">
        <v>1080</v>
      </c>
      <c r="B239" s="3" t="s">
        <v>2057</v>
      </c>
      <c r="C239" s="25">
        <v>2</v>
      </c>
      <c r="D239" s="25" t="s">
        <v>229</v>
      </c>
      <c r="E239" s="3" t="s">
        <v>2065</v>
      </c>
      <c r="F239" s="3" t="s">
        <v>2066</v>
      </c>
      <c r="G239" s="3" t="s">
        <v>1523</v>
      </c>
      <c r="H239" s="3" t="s">
        <v>1524</v>
      </c>
      <c r="I239" s="3" t="s">
        <v>1525</v>
      </c>
      <c r="J239" s="3" t="s">
        <v>1526</v>
      </c>
      <c r="K239" s="3" t="s">
        <v>143</v>
      </c>
      <c r="L239" s="3" t="s">
        <v>79</v>
      </c>
    </row>
    <row r="240" spans="1:12" ht="49.5" customHeight="1" x14ac:dyDescent="0.35">
      <c r="A240" s="26" t="s">
        <v>1080</v>
      </c>
      <c r="B240" s="23" t="s">
        <v>2057</v>
      </c>
      <c r="C240" s="26">
        <v>3</v>
      </c>
      <c r="D240" s="26" t="s">
        <v>233</v>
      </c>
      <c r="E240" s="23" t="s">
        <v>2067</v>
      </c>
      <c r="F240" s="23" t="s">
        <v>2068</v>
      </c>
      <c r="G240" s="23" t="s">
        <v>1529</v>
      </c>
      <c r="H240" s="23" t="s">
        <v>1530</v>
      </c>
      <c r="I240" s="23" t="s">
        <v>1531</v>
      </c>
      <c r="J240" s="23" t="s">
        <v>1532</v>
      </c>
      <c r="K240" s="23" t="s">
        <v>143</v>
      </c>
      <c r="L240" s="23" t="s">
        <v>79</v>
      </c>
    </row>
    <row r="241" spans="1:12" ht="49.5" customHeight="1" x14ac:dyDescent="0.35">
      <c r="A241" s="27" t="s">
        <v>1080</v>
      </c>
      <c r="B241" s="23" t="s">
        <v>2057</v>
      </c>
      <c r="C241" s="27">
        <v>4</v>
      </c>
      <c r="D241" s="27" t="s">
        <v>237</v>
      </c>
      <c r="E241" s="23" t="s">
        <v>2069</v>
      </c>
      <c r="F241" s="23" t="s">
        <v>2070</v>
      </c>
      <c r="G241" s="23" t="s">
        <v>1535</v>
      </c>
      <c r="H241" s="23" t="s">
        <v>1536</v>
      </c>
      <c r="I241" s="23" t="s">
        <v>1537</v>
      </c>
      <c r="J241" s="23" t="s">
        <v>1538</v>
      </c>
      <c r="K241" s="23" t="s">
        <v>143</v>
      </c>
      <c r="L241" s="23" t="s">
        <v>79</v>
      </c>
    </row>
    <row r="242" spans="1:12" ht="49.5" customHeight="1" x14ac:dyDescent="0.35">
      <c r="A242" s="28" t="s">
        <v>1080</v>
      </c>
      <c r="B242" s="23" t="s">
        <v>2057</v>
      </c>
      <c r="C242" s="28">
        <v>5</v>
      </c>
      <c r="D242" s="28" t="s">
        <v>241</v>
      </c>
      <c r="E242" s="23" t="s">
        <v>2071</v>
      </c>
      <c r="F242" s="23" t="s">
        <v>2072</v>
      </c>
      <c r="G242" s="23" t="s">
        <v>1541</v>
      </c>
      <c r="H242" s="23" t="s">
        <v>1542</v>
      </c>
      <c r="I242" s="23" t="s">
        <v>1543</v>
      </c>
      <c r="J242" s="23" t="s">
        <v>1544</v>
      </c>
      <c r="K242" s="23" t="s">
        <v>143</v>
      </c>
      <c r="L242" s="23" t="s">
        <v>79</v>
      </c>
    </row>
    <row r="243" spans="1:12" ht="49.5" customHeight="1" x14ac:dyDescent="0.35">
      <c r="A243" s="22" t="s">
        <v>1089</v>
      </c>
      <c r="B243" s="23" t="s">
        <v>2073</v>
      </c>
      <c r="C243" s="22">
        <v>0</v>
      </c>
      <c r="D243" s="22" t="s">
        <v>221</v>
      </c>
      <c r="E243" s="23" t="s">
        <v>2074</v>
      </c>
      <c r="F243" s="23" t="s">
        <v>2075</v>
      </c>
      <c r="G243" s="23" t="s">
        <v>1511</v>
      </c>
      <c r="H243" s="23" t="s">
        <v>2076</v>
      </c>
      <c r="I243" s="23" t="s">
        <v>1513</v>
      </c>
      <c r="J243" s="23" t="s">
        <v>2077</v>
      </c>
      <c r="K243" s="23" t="s">
        <v>143</v>
      </c>
      <c r="L243" s="23" t="s">
        <v>79</v>
      </c>
    </row>
    <row r="244" spans="1:12" ht="49.5" customHeight="1" x14ac:dyDescent="0.35">
      <c r="A244" s="24" t="s">
        <v>1089</v>
      </c>
      <c r="B244" s="23" t="s">
        <v>2073</v>
      </c>
      <c r="C244" s="24">
        <v>1</v>
      </c>
      <c r="D244" s="24" t="s">
        <v>225</v>
      </c>
      <c r="E244" s="23" t="s">
        <v>2078</v>
      </c>
      <c r="F244" s="23" t="s">
        <v>2079</v>
      </c>
      <c r="G244" s="23" t="s">
        <v>1517</v>
      </c>
      <c r="H244" s="23" t="s">
        <v>1518</v>
      </c>
      <c r="I244" s="23" t="s">
        <v>1519</v>
      </c>
      <c r="J244" s="23" t="s">
        <v>2080</v>
      </c>
      <c r="K244" s="23" t="s">
        <v>143</v>
      </c>
      <c r="L244" s="23" t="s">
        <v>79</v>
      </c>
    </row>
    <row r="245" spans="1:12" ht="49.5" customHeight="1" x14ac:dyDescent="0.35">
      <c r="A245" s="25" t="s">
        <v>1089</v>
      </c>
      <c r="B245" s="23" t="s">
        <v>2073</v>
      </c>
      <c r="C245" s="25">
        <v>2</v>
      </c>
      <c r="D245" s="25" t="s">
        <v>229</v>
      </c>
      <c r="E245" s="23" t="s">
        <v>2081</v>
      </c>
      <c r="F245" s="23" t="s">
        <v>2082</v>
      </c>
      <c r="G245" s="23" t="s">
        <v>1523</v>
      </c>
      <c r="H245" s="23" t="s">
        <v>1524</v>
      </c>
      <c r="I245" s="23" t="s">
        <v>1525</v>
      </c>
      <c r="J245" s="23" t="s">
        <v>1526</v>
      </c>
      <c r="K245" s="23" t="s">
        <v>143</v>
      </c>
      <c r="L245" s="23" t="s">
        <v>79</v>
      </c>
    </row>
    <row r="246" spans="1:12" ht="49.5" customHeight="1" x14ac:dyDescent="0.35">
      <c r="A246" s="26" t="s">
        <v>1089</v>
      </c>
      <c r="B246" s="3" t="s">
        <v>2073</v>
      </c>
      <c r="C246" s="26">
        <v>3</v>
      </c>
      <c r="D246" s="26" t="s">
        <v>233</v>
      </c>
      <c r="E246" s="3" t="s">
        <v>2083</v>
      </c>
      <c r="F246" s="3" t="s">
        <v>2084</v>
      </c>
      <c r="G246" s="3" t="s">
        <v>1529</v>
      </c>
      <c r="H246" s="3" t="s">
        <v>1530</v>
      </c>
      <c r="I246" s="3" t="s">
        <v>1531</v>
      </c>
      <c r="J246" s="3" t="s">
        <v>1532</v>
      </c>
      <c r="K246" s="3" t="s">
        <v>143</v>
      </c>
      <c r="L246" s="3" t="s">
        <v>79</v>
      </c>
    </row>
    <row r="247" spans="1:12" ht="49.5" customHeight="1" x14ac:dyDescent="0.35">
      <c r="A247" s="27" t="s">
        <v>1089</v>
      </c>
      <c r="B247" s="3" t="s">
        <v>2073</v>
      </c>
      <c r="C247" s="27">
        <v>4</v>
      </c>
      <c r="D247" s="27" t="s">
        <v>237</v>
      </c>
      <c r="E247" s="3" t="s">
        <v>2085</v>
      </c>
      <c r="F247" s="3" t="s">
        <v>2086</v>
      </c>
      <c r="G247" s="3" t="s">
        <v>1535</v>
      </c>
      <c r="H247" s="3" t="s">
        <v>1536</v>
      </c>
      <c r="I247" s="3" t="s">
        <v>1537</v>
      </c>
      <c r="J247" s="3" t="s">
        <v>1538</v>
      </c>
      <c r="K247" s="3" t="s">
        <v>143</v>
      </c>
      <c r="L247" s="3" t="s">
        <v>79</v>
      </c>
    </row>
    <row r="248" spans="1:12" ht="49.5" customHeight="1" x14ac:dyDescent="0.35">
      <c r="A248" s="28" t="s">
        <v>1089</v>
      </c>
      <c r="B248" s="3" t="s">
        <v>2073</v>
      </c>
      <c r="C248" s="28">
        <v>5</v>
      </c>
      <c r="D248" s="28" t="s">
        <v>241</v>
      </c>
      <c r="E248" s="3" t="s">
        <v>2087</v>
      </c>
      <c r="F248" s="3" t="s">
        <v>2088</v>
      </c>
      <c r="G248" s="3" t="s">
        <v>1541</v>
      </c>
      <c r="H248" s="3" t="s">
        <v>1542</v>
      </c>
      <c r="I248" s="3" t="s">
        <v>1543</v>
      </c>
      <c r="J248" s="3" t="s">
        <v>1544</v>
      </c>
      <c r="K248" s="3" t="s">
        <v>143</v>
      </c>
      <c r="L248" s="3" t="s">
        <v>79</v>
      </c>
    </row>
    <row r="249" spans="1:12" ht="49.5" customHeight="1" x14ac:dyDescent="0.35">
      <c r="A249" s="22" t="s">
        <v>1100</v>
      </c>
      <c r="B249" s="3" t="s">
        <v>2089</v>
      </c>
      <c r="C249" s="22">
        <v>0</v>
      </c>
      <c r="D249" s="22" t="s">
        <v>221</v>
      </c>
      <c r="E249" s="3" t="s">
        <v>2090</v>
      </c>
      <c r="F249" s="3" t="s">
        <v>2091</v>
      </c>
      <c r="G249" s="3" t="s">
        <v>1511</v>
      </c>
      <c r="H249" s="3" t="s">
        <v>2092</v>
      </c>
      <c r="I249" s="3" t="s">
        <v>1513</v>
      </c>
      <c r="J249" s="3" t="s">
        <v>2093</v>
      </c>
      <c r="K249" s="3" t="s">
        <v>143</v>
      </c>
      <c r="L249" s="3" t="s">
        <v>79</v>
      </c>
    </row>
    <row r="250" spans="1:12" ht="49.5" customHeight="1" x14ac:dyDescent="0.35">
      <c r="A250" s="24" t="s">
        <v>1100</v>
      </c>
      <c r="B250" s="3" t="s">
        <v>2089</v>
      </c>
      <c r="C250" s="24">
        <v>1</v>
      </c>
      <c r="D250" s="24" t="s">
        <v>225</v>
      </c>
      <c r="E250" s="3" t="s">
        <v>2094</v>
      </c>
      <c r="F250" s="3" t="s">
        <v>2095</v>
      </c>
      <c r="G250" s="3" t="s">
        <v>1517</v>
      </c>
      <c r="H250" s="3" t="s">
        <v>1518</v>
      </c>
      <c r="I250" s="3" t="s">
        <v>1519</v>
      </c>
      <c r="J250" s="3" t="s">
        <v>2096</v>
      </c>
      <c r="K250" s="3" t="s">
        <v>143</v>
      </c>
      <c r="L250" s="3" t="s">
        <v>79</v>
      </c>
    </row>
    <row r="251" spans="1:12" ht="49.5" customHeight="1" x14ac:dyDescent="0.35">
      <c r="A251" s="25" t="s">
        <v>1100</v>
      </c>
      <c r="B251" s="3" t="s">
        <v>2089</v>
      </c>
      <c r="C251" s="25">
        <v>2</v>
      </c>
      <c r="D251" s="25" t="s">
        <v>229</v>
      </c>
      <c r="E251" s="3" t="s">
        <v>2097</v>
      </c>
      <c r="F251" s="3" t="s">
        <v>2098</v>
      </c>
      <c r="G251" s="3" t="s">
        <v>1523</v>
      </c>
      <c r="H251" s="3" t="s">
        <v>1524</v>
      </c>
      <c r="I251" s="3" t="s">
        <v>1525</v>
      </c>
      <c r="J251" s="3" t="s">
        <v>1526</v>
      </c>
      <c r="K251" s="3" t="s">
        <v>143</v>
      </c>
      <c r="L251" s="3" t="s">
        <v>79</v>
      </c>
    </row>
    <row r="252" spans="1:12" ht="49.5" customHeight="1" x14ac:dyDescent="0.35">
      <c r="A252" s="26" t="s">
        <v>1100</v>
      </c>
      <c r="B252" s="23" t="s">
        <v>2089</v>
      </c>
      <c r="C252" s="26">
        <v>3</v>
      </c>
      <c r="D252" s="26" t="s">
        <v>233</v>
      </c>
      <c r="E252" s="23" t="s">
        <v>2099</v>
      </c>
      <c r="F252" s="23" t="s">
        <v>2100</v>
      </c>
      <c r="G252" s="23" t="s">
        <v>1529</v>
      </c>
      <c r="H252" s="23" t="s">
        <v>1530</v>
      </c>
      <c r="I252" s="23" t="s">
        <v>1531</v>
      </c>
      <c r="J252" s="23" t="s">
        <v>1532</v>
      </c>
      <c r="K252" s="23" t="s">
        <v>143</v>
      </c>
      <c r="L252" s="23" t="s">
        <v>79</v>
      </c>
    </row>
    <row r="253" spans="1:12" ht="49.5" customHeight="1" x14ac:dyDescent="0.35">
      <c r="A253" s="27" t="s">
        <v>1100</v>
      </c>
      <c r="B253" s="23" t="s">
        <v>2089</v>
      </c>
      <c r="C253" s="27">
        <v>4</v>
      </c>
      <c r="D253" s="27" t="s">
        <v>237</v>
      </c>
      <c r="E253" s="23" t="s">
        <v>2101</v>
      </c>
      <c r="F253" s="23" t="s">
        <v>2102</v>
      </c>
      <c r="G253" s="23" t="s">
        <v>1535</v>
      </c>
      <c r="H253" s="23" t="s">
        <v>1536</v>
      </c>
      <c r="I253" s="23" t="s">
        <v>1537</v>
      </c>
      <c r="J253" s="23" t="s">
        <v>1538</v>
      </c>
      <c r="K253" s="23" t="s">
        <v>143</v>
      </c>
      <c r="L253" s="23" t="s">
        <v>79</v>
      </c>
    </row>
    <row r="254" spans="1:12" ht="49.5" customHeight="1" x14ac:dyDescent="0.35">
      <c r="A254" s="28" t="s">
        <v>1100</v>
      </c>
      <c r="B254" s="23" t="s">
        <v>2089</v>
      </c>
      <c r="C254" s="28">
        <v>5</v>
      </c>
      <c r="D254" s="28" t="s">
        <v>241</v>
      </c>
      <c r="E254" s="23" t="s">
        <v>2103</v>
      </c>
      <c r="F254" s="23" t="s">
        <v>2104</v>
      </c>
      <c r="G254" s="23" t="s">
        <v>1541</v>
      </c>
      <c r="H254" s="23" t="s">
        <v>1542</v>
      </c>
      <c r="I254" s="23" t="s">
        <v>1543</v>
      </c>
      <c r="J254" s="23" t="s">
        <v>1544</v>
      </c>
      <c r="K254" s="23" t="s">
        <v>143</v>
      </c>
      <c r="L254" s="23" t="s">
        <v>79</v>
      </c>
    </row>
    <row r="255" spans="1:12" ht="49.5" customHeight="1" x14ac:dyDescent="0.35">
      <c r="A255" s="22" t="s">
        <v>1109</v>
      </c>
      <c r="B255" s="23" t="s">
        <v>2105</v>
      </c>
      <c r="C255" s="22">
        <v>0</v>
      </c>
      <c r="D255" s="22" t="s">
        <v>221</v>
      </c>
      <c r="E255" s="23" t="s">
        <v>2106</v>
      </c>
      <c r="F255" s="23" t="s">
        <v>2107</v>
      </c>
      <c r="G255" s="23" t="s">
        <v>1511</v>
      </c>
      <c r="H255" s="23" t="s">
        <v>2108</v>
      </c>
      <c r="I255" s="23" t="s">
        <v>1513</v>
      </c>
      <c r="J255" s="23" t="s">
        <v>2109</v>
      </c>
      <c r="K255" s="23" t="s">
        <v>143</v>
      </c>
      <c r="L255" s="23" t="s">
        <v>79</v>
      </c>
    </row>
    <row r="256" spans="1:12" ht="49.5" customHeight="1" x14ac:dyDescent="0.35">
      <c r="A256" s="24" t="s">
        <v>1109</v>
      </c>
      <c r="B256" s="23" t="s">
        <v>2105</v>
      </c>
      <c r="C256" s="24">
        <v>1</v>
      </c>
      <c r="D256" s="24" t="s">
        <v>225</v>
      </c>
      <c r="E256" s="23" t="s">
        <v>2110</v>
      </c>
      <c r="F256" s="23" t="s">
        <v>2111</v>
      </c>
      <c r="G256" s="23" t="s">
        <v>1517</v>
      </c>
      <c r="H256" s="23" t="s">
        <v>1518</v>
      </c>
      <c r="I256" s="23" t="s">
        <v>1519</v>
      </c>
      <c r="J256" s="23" t="s">
        <v>2112</v>
      </c>
      <c r="K256" s="23" t="s">
        <v>143</v>
      </c>
      <c r="L256" s="23" t="s">
        <v>79</v>
      </c>
    </row>
    <row r="257" spans="1:12" ht="49.5" customHeight="1" x14ac:dyDescent="0.35">
      <c r="A257" s="25" t="s">
        <v>1109</v>
      </c>
      <c r="B257" s="23" t="s">
        <v>2105</v>
      </c>
      <c r="C257" s="25">
        <v>2</v>
      </c>
      <c r="D257" s="25" t="s">
        <v>229</v>
      </c>
      <c r="E257" s="23" t="s">
        <v>2113</v>
      </c>
      <c r="F257" s="23" t="s">
        <v>2114</v>
      </c>
      <c r="G257" s="23" t="s">
        <v>1523</v>
      </c>
      <c r="H257" s="23" t="s">
        <v>1524</v>
      </c>
      <c r="I257" s="23" t="s">
        <v>1525</v>
      </c>
      <c r="J257" s="23" t="s">
        <v>1526</v>
      </c>
      <c r="K257" s="23" t="s">
        <v>143</v>
      </c>
      <c r="L257" s="23" t="s">
        <v>79</v>
      </c>
    </row>
    <row r="258" spans="1:12" ht="49.5" customHeight="1" x14ac:dyDescent="0.35">
      <c r="A258" s="26" t="s">
        <v>1109</v>
      </c>
      <c r="B258" s="3" t="s">
        <v>2105</v>
      </c>
      <c r="C258" s="26">
        <v>3</v>
      </c>
      <c r="D258" s="26" t="s">
        <v>233</v>
      </c>
      <c r="E258" s="3" t="s">
        <v>1875</v>
      </c>
      <c r="F258" s="3" t="s">
        <v>1876</v>
      </c>
      <c r="G258" s="3" t="s">
        <v>1529</v>
      </c>
      <c r="H258" s="3" t="s">
        <v>1530</v>
      </c>
      <c r="I258" s="3" t="s">
        <v>1531</v>
      </c>
      <c r="J258" s="3" t="s">
        <v>1532</v>
      </c>
      <c r="K258" s="3" t="s">
        <v>143</v>
      </c>
      <c r="L258" s="3" t="s">
        <v>79</v>
      </c>
    </row>
    <row r="259" spans="1:12" ht="49.5" customHeight="1" x14ac:dyDescent="0.35">
      <c r="A259" s="27" t="s">
        <v>1109</v>
      </c>
      <c r="B259" s="3" t="s">
        <v>2105</v>
      </c>
      <c r="C259" s="27">
        <v>4</v>
      </c>
      <c r="D259" s="27" t="s">
        <v>237</v>
      </c>
      <c r="E259" s="3" t="s">
        <v>2115</v>
      </c>
      <c r="F259" s="3" t="s">
        <v>2116</v>
      </c>
      <c r="G259" s="3" t="s">
        <v>1535</v>
      </c>
      <c r="H259" s="3" t="s">
        <v>1536</v>
      </c>
      <c r="I259" s="3" t="s">
        <v>1537</v>
      </c>
      <c r="J259" s="3" t="s">
        <v>1538</v>
      </c>
      <c r="K259" s="3" t="s">
        <v>143</v>
      </c>
      <c r="L259" s="3" t="s">
        <v>79</v>
      </c>
    </row>
    <row r="260" spans="1:12" ht="49.5" customHeight="1" x14ac:dyDescent="0.35">
      <c r="A260" s="28" t="s">
        <v>1109</v>
      </c>
      <c r="B260" s="3" t="s">
        <v>2105</v>
      </c>
      <c r="C260" s="28">
        <v>5</v>
      </c>
      <c r="D260" s="28" t="s">
        <v>241</v>
      </c>
      <c r="E260" s="3" t="s">
        <v>2117</v>
      </c>
      <c r="F260" s="3" t="s">
        <v>2118</v>
      </c>
      <c r="G260" s="3" t="s">
        <v>1541</v>
      </c>
      <c r="H260" s="3" t="s">
        <v>1542</v>
      </c>
      <c r="I260" s="3" t="s">
        <v>1543</v>
      </c>
      <c r="J260" s="3" t="s">
        <v>1544</v>
      </c>
      <c r="K260" s="3" t="s">
        <v>143</v>
      </c>
      <c r="L260" s="3" t="s">
        <v>79</v>
      </c>
    </row>
    <row r="261" spans="1:12" ht="49.5" customHeight="1" x14ac:dyDescent="0.35">
      <c r="A261" s="22" t="s">
        <v>1119</v>
      </c>
      <c r="B261" s="3" t="s">
        <v>2119</v>
      </c>
      <c r="C261" s="22">
        <v>0</v>
      </c>
      <c r="D261" s="22" t="s">
        <v>221</v>
      </c>
      <c r="E261" s="3" t="s">
        <v>2120</v>
      </c>
      <c r="F261" s="3" t="s">
        <v>2121</v>
      </c>
      <c r="G261" s="3" t="s">
        <v>1511</v>
      </c>
      <c r="H261" s="3" t="s">
        <v>2122</v>
      </c>
      <c r="I261" s="3" t="s">
        <v>1513</v>
      </c>
      <c r="J261" s="3" t="s">
        <v>2123</v>
      </c>
      <c r="K261" s="3" t="s">
        <v>143</v>
      </c>
      <c r="L261" s="3" t="s">
        <v>79</v>
      </c>
    </row>
    <row r="262" spans="1:12" ht="49.5" customHeight="1" x14ac:dyDescent="0.35">
      <c r="A262" s="24" t="s">
        <v>1119</v>
      </c>
      <c r="B262" s="3" t="s">
        <v>2119</v>
      </c>
      <c r="C262" s="24">
        <v>1</v>
      </c>
      <c r="D262" s="24" t="s">
        <v>225</v>
      </c>
      <c r="E262" s="3" t="s">
        <v>2124</v>
      </c>
      <c r="F262" s="3" t="s">
        <v>2125</v>
      </c>
      <c r="G262" s="3" t="s">
        <v>1517</v>
      </c>
      <c r="H262" s="3" t="s">
        <v>1518</v>
      </c>
      <c r="I262" s="3" t="s">
        <v>1519</v>
      </c>
      <c r="J262" s="3" t="s">
        <v>2126</v>
      </c>
      <c r="K262" s="3" t="s">
        <v>143</v>
      </c>
      <c r="L262" s="3" t="s">
        <v>79</v>
      </c>
    </row>
    <row r="263" spans="1:12" ht="49.5" customHeight="1" x14ac:dyDescent="0.35">
      <c r="A263" s="25" t="s">
        <v>1119</v>
      </c>
      <c r="B263" s="3" t="s">
        <v>2119</v>
      </c>
      <c r="C263" s="25">
        <v>2</v>
      </c>
      <c r="D263" s="25" t="s">
        <v>229</v>
      </c>
      <c r="E263" s="3" t="s">
        <v>2127</v>
      </c>
      <c r="F263" s="3" t="s">
        <v>2128</v>
      </c>
      <c r="G263" s="3" t="s">
        <v>1523</v>
      </c>
      <c r="H263" s="3" t="s">
        <v>1524</v>
      </c>
      <c r="I263" s="3" t="s">
        <v>1525</v>
      </c>
      <c r="J263" s="3" t="s">
        <v>1526</v>
      </c>
      <c r="K263" s="3" t="s">
        <v>143</v>
      </c>
      <c r="L263" s="3" t="s">
        <v>79</v>
      </c>
    </row>
    <row r="264" spans="1:12" ht="49.5" customHeight="1" x14ac:dyDescent="0.35">
      <c r="A264" s="26" t="s">
        <v>1119</v>
      </c>
      <c r="B264" s="23" t="s">
        <v>2119</v>
      </c>
      <c r="C264" s="26">
        <v>3</v>
      </c>
      <c r="D264" s="26" t="s">
        <v>233</v>
      </c>
      <c r="E264" s="23" t="s">
        <v>2129</v>
      </c>
      <c r="F264" s="23" t="s">
        <v>2130</v>
      </c>
      <c r="G264" s="23" t="s">
        <v>1529</v>
      </c>
      <c r="H264" s="23" t="s">
        <v>1530</v>
      </c>
      <c r="I264" s="23" t="s">
        <v>1531</v>
      </c>
      <c r="J264" s="23" t="s">
        <v>1532</v>
      </c>
      <c r="K264" s="23" t="s">
        <v>143</v>
      </c>
      <c r="L264" s="23" t="s">
        <v>79</v>
      </c>
    </row>
    <row r="265" spans="1:12" ht="49.5" customHeight="1" x14ac:dyDescent="0.35">
      <c r="A265" s="27" t="s">
        <v>1119</v>
      </c>
      <c r="B265" s="23" t="s">
        <v>2119</v>
      </c>
      <c r="C265" s="27">
        <v>4</v>
      </c>
      <c r="D265" s="27" t="s">
        <v>237</v>
      </c>
      <c r="E265" s="23" t="s">
        <v>2131</v>
      </c>
      <c r="F265" s="23" t="s">
        <v>2132</v>
      </c>
      <c r="G265" s="23" t="s">
        <v>1535</v>
      </c>
      <c r="H265" s="23" t="s">
        <v>1536</v>
      </c>
      <c r="I265" s="23" t="s">
        <v>1537</v>
      </c>
      <c r="J265" s="23" t="s">
        <v>1538</v>
      </c>
      <c r="K265" s="23" t="s">
        <v>143</v>
      </c>
      <c r="L265" s="23" t="s">
        <v>79</v>
      </c>
    </row>
    <row r="266" spans="1:12" ht="49.5" customHeight="1" x14ac:dyDescent="0.35">
      <c r="A266" s="28" t="s">
        <v>1119</v>
      </c>
      <c r="B266" s="23" t="s">
        <v>2119</v>
      </c>
      <c r="C266" s="28">
        <v>5</v>
      </c>
      <c r="D266" s="28" t="s">
        <v>241</v>
      </c>
      <c r="E266" s="23" t="s">
        <v>2133</v>
      </c>
      <c r="F266" s="23" t="s">
        <v>2134</v>
      </c>
      <c r="G266" s="23" t="s">
        <v>1541</v>
      </c>
      <c r="H266" s="23" t="s">
        <v>1542</v>
      </c>
      <c r="I266" s="23" t="s">
        <v>1543</v>
      </c>
      <c r="J266" s="23" t="s">
        <v>1544</v>
      </c>
      <c r="K266" s="23" t="s">
        <v>143</v>
      </c>
      <c r="L266" s="23" t="s">
        <v>79</v>
      </c>
    </row>
    <row r="267" spans="1:12" ht="49.5" customHeight="1" x14ac:dyDescent="0.35">
      <c r="A267" s="22" t="s">
        <v>1129</v>
      </c>
      <c r="B267" s="23" t="s">
        <v>2135</v>
      </c>
      <c r="C267" s="22">
        <v>0</v>
      </c>
      <c r="D267" s="22" t="s">
        <v>221</v>
      </c>
      <c r="E267" s="23" t="s">
        <v>2136</v>
      </c>
      <c r="F267" s="23" t="s">
        <v>2137</v>
      </c>
      <c r="G267" s="23" t="s">
        <v>1511</v>
      </c>
      <c r="H267" s="23" t="s">
        <v>2138</v>
      </c>
      <c r="I267" s="23" t="s">
        <v>1513</v>
      </c>
      <c r="J267" s="23" t="s">
        <v>2139</v>
      </c>
      <c r="K267" s="23" t="s">
        <v>143</v>
      </c>
      <c r="L267" s="23" t="s">
        <v>79</v>
      </c>
    </row>
    <row r="268" spans="1:12" ht="49.5" customHeight="1" x14ac:dyDescent="0.35">
      <c r="A268" s="24" t="s">
        <v>1129</v>
      </c>
      <c r="B268" s="23" t="s">
        <v>2135</v>
      </c>
      <c r="C268" s="24">
        <v>1</v>
      </c>
      <c r="D268" s="24" t="s">
        <v>225</v>
      </c>
      <c r="E268" s="23" t="s">
        <v>2140</v>
      </c>
      <c r="F268" s="23" t="s">
        <v>2141</v>
      </c>
      <c r="G268" s="23" t="s">
        <v>1517</v>
      </c>
      <c r="H268" s="23" t="s">
        <v>1518</v>
      </c>
      <c r="I268" s="23" t="s">
        <v>1519</v>
      </c>
      <c r="J268" s="23" t="s">
        <v>2142</v>
      </c>
      <c r="K268" s="23" t="s">
        <v>143</v>
      </c>
      <c r="L268" s="23" t="s">
        <v>79</v>
      </c>
    </row>
    <row r="269" spans="1:12" ht="49.5" customHeight="1" x14ac:dyDescent="0.35">
      <c r="A269" s="25" t="s">
        <v>1129</v>
      </c>
      <c r="B269" s="23" t="s">
        <v>2135</v>
      </c>
      <c r="C269" s="25">
        <v>2</v>
      </c>
      <c r="D269" s="25" t="s">
        <v>229</v>
      </c>
      <c r="E269" s="23" t="s">
        <v>2143</v>
      </c>
      <c r="F269" s="23" t="s">
        <v>2144</v>
      </c>
      <c r="G269" s="23" t="s">
        <v>1523</v>
      </c>
      <c r="H269" s="23" t="s">
        <v>1524</v>
      </c>
      <c r="I269" s="23" t="s">
        <v>1525</v>
      </c>
      <c r="J269" s="23" t="s">
        <v>1526</v>
      </c>
      <c r="K269" s="23" t="s">
        <v>143</v>
      </c>
      <c r="L269" s="23" t="s">
        <v>79</v>
      </c>
    </row>
    <row r="270" spans="1:12" ht="49.5" customHeight="1" x14ac:dyDescent="0.35">
      <c r="A270" s="26" t="s">
        <v>1129</v>
      </c>
      <c r="B270" s="3" t="s">
        <v>2135</v>
      </c>
      <c r="C270" s="26">
        <v>3</v>
      </c>
      <c r="D270" s="26" t="s">
        <v>233</v>
      </c>
      <c r="E270" s="3" t="s">
        <v>2145</v>
      </c>
      <c r="F270" s="3" t="s">
        <v>2146</v>
      </c>
      <c r="G270" s="3" t="s">
        <v>1529</v>
      </c>
      <c r="H270" s="3" t="s">
        <v>1530</v>
      </c>
      <c r="I270" s="3" t="s">
        <v>1531</v>
      </c>
      <c r="J270" s="3" t="s">
        <v>1532</v>
      </c>
      <c r="K270" s="3" t="s">
        <v>143</v>
      </c>
      <c r="L270" s="3" t="s">
        <v>79</v>
      </c>
    </row>
    <row r="271" spans="1:12" ht="49.5" customHeight="1" x14ac:dyDescent="0.35">
      <c r="A271" s="27" t="s">
        <v>1129</v>
      </c>
      <c r="B271" s="3" t="s">
        <v>2135</v>
      </c>
      <c r="C271" s="27">
        <v>4</v>
      </c>
      <c r="D271" s="27" t="s">
        <v>237</v>
      </c>
      <c r="E271" s="3" t="s">
        <v>2147</v>
      </c>
      <c r="F271" s="3" t="s">
        <v>2148</v>
      </c>
      <c r="G271" s="3" t="s">
        <v>1535</v>
      </c>
      <c r="H271" s="3" t="s">
        <v>1536</v>
      </c>
      <c r="I271" s="3" t="s">
        <v>1537</v>
      </c>
      <c r="J271" s="3" t="s">
        <v>1538</v>
      </c>
      <c r="K271" s="3" t="s">
        <v>143</v>
      </c>
      <c r="L271" s="3" t="s">
        <v>79</v>
      </c>
    </row>
    <row r="272" spans="1:12" ht="49.5" customHeight="1" x14ac:dyDescent="0.35">
      <c r="A272" s="28" t="s">
        <v>1129</v>
      </c>
      <c r="B272" s="3" t="s">
        <v>2135</v>
      </c>
      <c r="C272" s="28">
        <v>5</v>
      </c>
      <c r="D272" s="28" t="s">
        <v>241</v>
      </c>
      <c r="E272" s="3" t="s">
        <v>2149</v>
      </c>
      <c r="F272" s="3" t="s">
        <v>2150</v>
      </c>
      <c r="G272" s="3" t="s">
        <v>1541</v>
      </c>
      <c r="H272" s="3" t="s">
        <v>1542</v>
      </c>
      <c r="I272" s="3" t="s">
        <v>1543</v>
      </c>
      <c r="J272" s="3" t="s">
        <v>1544</v>
      </c>
      <c r="K272" s="3" t="s">
        <v>143</v>
      </c>
      <c r="L272" s="3" t="s">
        <v>79</v>
      </c>
    </row>
    <row r="273" spans="1:12" ht="49.5" customHeight="1" x14ac:dyDescent="0.35">
      <c r="A273" s="22" t="s">
        <v>1138</v>
      </c>
      <c r="B273" s="3" t="s">
        <v>2151</v>
      </c>
      <c r="C273" s="22">
        <v>0</v>
      </c>
      <c r="D273" s="22" t="s">
        <v>221</v>
      </c>
      <c r="E273" s="3" t="s">
        <v>2152</v>
      </c>
      <c r="F273" s="3" t="s">
        <v>2153</v>
      </c>
      <c r="G273" s="3" t="s">
        <v>1511</v>
      </c>
      <c r="H273" s="3" t="s">
        <v>2154</v>
      </c>
      <c r="I273" s="3" t="s">
        <v>1513</v>
      </c>
      <c r="J273" s="3" t="s">
        <v>2155</v>
      </c>
      <c r="K273" s="3" t="s">
        <v>143</v>
      </c>
      <c r="L273" s="3" t="s">
        <v>79</v>
      </c>
    </row>
    <row r="274" spans="1:12" ht="49.5" customHeight="1" x14ac:dyDescent="0.35">
      <c r="A274" s="24" t="s">
        <v>1138</v>
      </c>
      <c r="B274" s="3" t="s">
        <v>2151</v>
      </c>
      <c r="C274" s="24">
        <v>1</v>
      </c>
      <c r="D274" s="24" t="s">
        <v>225</v>
      </c>
      <c r="E274" s="3" t="s">
        <v>2156</v>
      </c>
      <c r="F274" s="3" t="s">
        <v>2157</v>
      </c>
      <c r="G274" s="3" t="s">
        <v>1517</v>
      </c>
      <c r="H274" s="3" t="s">
        <v>1518</v>
      </c>
      <c r="I274" s="3" t="s">
        <v>1519</v>
      </c>
      <c r="J274" s="3" t="s">
        <v>2158</v>
      </c>
      <c r="K274" s="3" t="s">
        <v>143</v>
      </c>
      <c r="L274" s="3" t="s">
        <v>79</v>
      </c>
    </row>
    <row r="275" spans="1:12" ht="49.5" customHeight="1" x14ac:dyDescent="0.35">
      <c r="A275" s="25" t="s">
        <v>1138</v>
      </c>
      <c r="B275" s="3" t="s">
        <v>2151</v>
      </c>
      <c r="C275" s="25">
        <v>2</v>
      </c>
      <c r="D275" s="25" t="s">
        <v>229</v>
      </c>
      <c r="E275" s="3" t="s">
        <v>2159</v>
      </c>
      <c r="F275" s="3" t="s">
        <v>2160</v>
      </c>
      <c r="G275" s="3" t="s">
        <v>1523</v>
      </c>
      <c r="H275" s="3" t="s">
        <v>1524</v>
      </c>
      <c r="I275" s="3" t="s">
        <v>1525</v>
      </c>
      <c r="J275" s="3" t="s">
        <v>1526</v>
      </c>
      <c r="K275" s="3" t="s">
        <v>143</v>
      </c>
      <c r="L275" s="3" t="s">
        <v>79</v>
      </c>
    </row>
    <row r="276" spans="1:12" ht="49.5" customHeight="1" x14ac:dyDescent="0.35">
      <c r="A276" s="26" t="s">
        <v>1138</v>
      </c>
      <c r="B276" s="23" t="s">
        <v>2151</v>
      </c>
      <c r="C276" s="26">
        <v>3</v>
      </c>
      <c r="D276" s="26" t="s">
        <v>233</v>
      </c>
      <c r="E276" s="23" t="s">
        <v>2161</v>
      </c>
      <c r="F276" s="23" t="s">
        <v>2162</v>
      </c>
      <c r="G276" s="23" t="s">
        <v>1529</v>
      </c>
      <c r="H276" s="23" t="s">
        <v>1530</v>
      </c>
      <c r="I276" s="23" t="s">
        <v>1531</v>
      </c>
      <c r="J276" s="23" t="s">
        <v>1532</v>
      </c>
      <c r="K276" s="23" t="s">
        <v>143</v>
      </c>
      <c r="L276" s="23" t="s">
        <v>79</v>
      </c>
    </row>
    <row r="277" spans="1:12" ht="49.5" customHeight="1" x14ac:dyDescent="0.35">
      <c r="A277" s="27" t="s">
        <v>1138</v>
      </c>
      <c r="B277" s="23" t="s">
        <v>2151</v>
      </c>
      <c r="C277" s="27">
        <v>4</v>
      </c>
      <c r="D277" s="27" t="s">
        <v>237</v>
      </c>
      <c r="E277" s="23" t="s">
        <v>2163</v>
      </c>
      <c r="F277" s="23" t="s">
        <v>2164</v>
      </c>
      <c r="G277" s="23" t="s">
        <v>1535</v>
      </c>
      <c r="H277" s="23" t="s">
        <v>1536</v>
      </c>
      <c r="I277" s="23" t="s">
        <v>1537</v>
      </c>
      <c r="J277" s="23" t="s">
        <v>1538</v>
      </c>
      <c r="K277" s="23" t="s">
        <v>143</v>
      </c>
      <c r="L277" s="23" t="s">
        <v>79</v>
      </c>
    </row>
    <row r="278" spans="1:12" ht="49.5" customHeight="1" x14ac:dyDescent="0.35">
      <c r="A278" s="28" t="s">
        <v>1138</v>
      </c>
      <c r="B278" s="23" t="s">
        <v>2151</v>
      </c>
      <c r="C278" s="28">
        <v>5</v>
      </c>
      <c r="D278" s="28" t="s">
        <v>241</v>
      </c>
      <c r="E278" s="23" t="s">
        <v>2165</v>
      </c>
      <c r="F278" s="23" t="s">
        <v>2166</v>
      </c>
      <c r="G278" s="23" t="s">
        <v>1541</v>
      </c>
      <c r="H278" s="23" t="s">
        <v>1542</v>
      </c>
      <c r="I278" s="23" t="s">
        <v>1543</v>
      </c>
      <c r="J278" s="23" t="s">
        <v>1544</v>
      </c>
      <c r="K278" s="23" t="s">
        <v>143</v>
      </c>
      <c r="L278" s="23" t="s">
        <v>79</v>
      </c>
    </row>
    <row r="279" spans="1:12" ht="49.5" customHeight="1" x14ac:dyDescent="0.35">
      <c r="A279" s="22" t="s">
        <v>1148</v>
      </c>
      <c r="B279" s="23" t="s">
        <v>2167</v>
      </c>
      <c r="C279" s="22">
        <v>0</v>
      </c>
      <c r="D279" s="22" t="s">
        <v>221</v>
      </c>
      <c r="E279" s="23" t="s">
        <v>2168</v>
      </c>
      <c r="F279" s="23" t="s">
        <v>2169</v>
      </c>
      <c r="G279" s="23" t="s">
        <v>1511</v>
      </c>
      <c r="H279" s="23" t="s">
        <v>2170</v>
      </c>
      <c r="I279" s="23" t="s">
        <v>1513</v>
      </c>
      <c r="J279" s="23" t="s">
        <v>2171</v>
      </c>
      <c r="K279" s="23" t="s">
        <v>143</v>
      </c>
      <c r="L279" s="23" t="s">
        <v>79</v>
      </c>
    </row>
    <row r="280" spans="1:12" ht="49.5" customHeight="1" x14ac:dyDescent="0.35">
      <c r="A280" s="24" t="s">
        <v>1148</v>
      </c>
      <c r="B280" s="23" t="s">
        <v>2167</v>
      </c>
      <c r="C280" s="24">
        <v>1</v>
      </c>
      <c r="D280" s="24" t="s">
        <v>225</v>
      </c>
      <c r="E280" s="23" t="s">
        <v>2172</v>
      </c>
      <c r="F280" s="23" t="s">
        <v>2173</v>
      </c>
      <c r="G280" s="23" t="s">
        <v>1517</v>
      </c>
      <c r="H280" s="23" t="s">
        <v>1518</v>
      </c>
      <c r="I280" s="23" t="s">
        <v>1519</v>
      </c>
      <c r="J280" s="23" t="s">
        <v>2174</v>
      </c>
      <c r="K280" s="23" t="s">
        <v>143</v>
      </c>
      <c r="L280" s="23" t="s">
        <v>79</v>
      </c>
    </row>
    <row r="281" spans="1:12" ht="49.5" customHeight="1" x14ac:dyDescent="0.35">
      <c r="A281" s="25" t="s">
        <v>1148</v>
      </c>
      <c r="B281" s="23" t="s">
        <v>2167</v>
      </c>
      <c r="C281" s="25">
        <v>2</v>
      </c>
      <c r="D281" s="25" t="s">
        <v>229</v>
      </c>
      <c r="E281" s="23" t="s">
        <v>2175</v>
      </c>
      <c r="F281" s="23" t="s">
        <v>2176</v>
      </c>
      <c r="G281" s="23" t="s">
        <v>1523</v>
      </c>
      <c r="H281" s="23" t="s">
        <v>1524</v>
      </c>
      <c r="I281" s="23" t="s">
        <v>1525</v>
      </c>
      <c r="J281" s="23" t="s">
        <v>1526</v>
      </c>
      <c r="K281" s="23" t="s">
        <v>143</v>
      </c>
      <c r="L281" s="23" t="s">
        <v>79</v>
      </c>
    </row>
    <row r="282" spans="1:12" ht="49.5" customHeight="1" x14ac:dyDescent="0.35">
      <c r="A282" s="26" t="s">
        <v>1148</v>
      </c>
      <c r="B282" s="3" t="s">
        <v>2167</v>
      </c>
      <c r="C282" s="26">
        <v>3</v>
      </c>
      <c r="D282" s="26" t="s">
        <v>233</v>
      </c>
      <c r="E282" s="3" t="s">
        <v>2177</v>
      </c>
      <c r="F282" s="3" t="s">
        <v>2178</v>
      </c>
      <c r="G282" s="3" t="s">
        <v>1529</v>
      </c>
      <c r="H282" s="3" t="s">
        <v>1530</v>
      </c>
      <c r="I282" s="3" t="s">
        <v>1531</v>
      </c>
      <c r="J282" s="3" t="s">
        <v>1532</v>
      </c>
      <c r="K282" s="3" t="s">
        <v>143</v>
      </c>
      <c r="L282" s="3" t="s">
        <v>79</v>
      </c>
    </row>
    <row r="283" spans="1:12" ht="49.5" customHeight="1" x14ac:dyDescent="0.35">
      <c r="A283" s="27" t="s">
        <v>1148</v>
      </c>
      <c r="B283" s="3" t="s">
        <v>2167</v>
      </c>
      <c r="C283" s="27">
        <v>4</v>
      </c>
      <c r="D283" s="27" t="s">
        <v>237</v>
      </c>
      <c r="E283" s="3" t="s">
        <v>2179</v>
      </c>
      <c r="F283" s="3" t="s">
        <v>2180</v>
      </c>
      <c r="G283" s="3" t="s">
        <v>1535</v>
      </c>
      <c r="H283" s="3" t="s">
        <v>1536</v>
      </c>
      <c r="I283" s="3" t="s">
        <v>1537</v>
      </c>
      <c r="J283" s="3" t="s">
        <v>1538</v>
      </c>
      <c r="K283" s="3" t="s">
        <v>143</v>
      </c>
      <c r="L283" s="3" t="s">
        <v>79</v>
      </c>
    </row>
    <row r="284" spans="1:12" ht="49.5" customHeight="1" x14ac:dyDescent="0.35">
      <c r="A284" s="28" t="s">
        <v>1148</v>
      </c>
      <c r="B284" s="3" t="s">
        <v>2167</v>
      </c>
      <c r="C284" s="28">
        <v>5</v>
      </c>
      <c r="D284" s="28" t="s">
        <v>241</v>
      </c>
      <c r="E284" s="3" t="s">
        <v>2181</v>
      </c>
      <c r="F284" s="3" t="s">
        <v>2182</v>
      </c>
      <c r="G284" s="3" t="s">
        <v>1541</v>
      </c>
      <c r="H284" s="3" t="s">
        <v>1542</v>
      </c>
      <c r="I284" s="3" t="s">
        <v>1543</v>
      </c>
      <c r="J284" s="3" t="s">
        <v>1544</v>
      </c>
      <c r="K284" s="3" t="s">
        <v>143</v>
      </c>
      <c r="L284" s="3" t="s">
        <v>79</v>
      </c>
    </row>
    <row r="285" spans="1:12" ht="49.5" customHeight="1" x14ac:dyDescent="0.35">
      <c r="A285" s="22" t="s">
        <v>1158</v>
      </c>
      <c r="B285" s="3" t="s">
        <v>2183</v>
      </c>
      <c r="C285" s="22">
        <v>0</v>
      </c>
      <c r="D285" s="22" t="s">
        <v>221</v>
      </c>
      <c r="E285" s="3" t="s">
        <v>2184</v>
      </c>
      <c r="F285" s="3" t="s">
        <v>2185</v>
      </c>
      <c r="G285" s="3" t="s">
        <v>1511</v>
      </c>
      <c r="H285" s="3" t="s">
        <v>2186</v>
      </c>
      <c r="I285" s="3" t="s">
        <v>1513</v>
      </c>
      <c r="J285" s="3" t="s">
        <v>2187</v>
      </c>
      <c r="K285" s="3" t="s">
        <v>143</v>
      </c>
      <c r="L285" s="3" t="s">
        <v>79</v>
      </c>
    </row>
    <row r="286" spans="1:12" ht="49.5" customHeight="1" x14ac:dyDescent="0.35">
      <c r="A286" s="24" t="s">
        <v>1158</v>
      </c>
      <c r="B286" s="3" t="s">
        <v>2183</v>
      </c>
      <c r="C286" s="24">
        <v>1</v>
      </c>
      <c r="D286" s="24" t="s">
        <v>225</v>
      </c>
      <c r="E286" s="3" t="s">
        <v>2188</v>
      </c>
      <c r="F286" s="3" t="s">
        <v>2189</v>
      </c>
      <c r="G286" s="3" t="s">
        <v>1517</v>
      </c>
      <c r="H286" s="3" t="s">
        <v>1518</v>
      </c>
      <c r="I286" s="3" t="s">
        <v>1519</v>
      </c>
      <c r="J286" s="3" t="s">
        <v>2190</v>
      </c>
      <c r="K286" s="3" t="s">
        <v>143</v>
      </c>
      <c r="L286" s="3" t="s">
        <v>79</v>
      </c>
    </row>
    <row r="287" spans="1:12" ht="49.5" customHeight="1" x14ac:dyDescent="0.35">
      <c r="A287" s="25" t="s">
        <v>1158</v>
      </c>
      <c r="B287" s="3" t="s">
        <v>2183</v>
      </c>
      <c r="C287" s="25">
        <v>2</v>
      </c>
      <c r="D287" s="25" t="s">
        <v>229</v>
      </c>
      <c r="E287" s="3" t="s">
        <v>2191</v>
      </c>
      <c r="F287" s="3" t="s">
        <v>2192</v>
      </c>
      <c r="G287" s="3" t="s">
        <v>1523</v>
      </c>
      <c r="H287" s="3" t="s">
        <v>1524</v>
      </c>
      <c r="I287" s="3" t="s">
        <v>1525</v>
      </c>
      <c r="J287" s="3" t="s">
        <v>1526</v>
      </c>
      <c r="K287" s="3" t="s">
        <v>143</v>
      </c>
      <c r="L287" s="3" t="s">
        <v>79</v>
      </c>
    </row>
    <row r="288" spans="1:12" ht="49.5" customHeight="1" x14ac:dyDescent="0.35">
      <c r="A288" s="26" t="s">
        <v>1158</v>
      </c>
      <c r="B288" s="23" t="s">
        <v>2183</v>
      </c>
      <c r="C288" s="26">
        <v>3</v>
      </c>
      <c r="D288" s="26" t="s">
        <v>233</v>
      </c>
      <c r="E288" s="23" t="s">
        <v>2193</v>
      </c>
      <c r="F288" s="23" t="s">
        <v>2194</v>
      </c>
      <c r="G288" s="23" t="s">
        <v>1529</v>
      </c>
      <c r="H288" s="23" t="s">
        <v>1530</v>
      </c>
      <c r="I288" s="23" t="s">
        <v>1531</v>
      </c>
      <c r="J288" s="23" t="s">
        <v>1532</v>
      </c>
      <c r="K288" s="23" t="s">
        <v>143</v>
      </c>
      <c r="L288" s="23" t="s">
        <v>79</v>
      </c>
    </row>
    <row r="289" spans="1:12" ht="49.5" customHeight="1" x14ac:dyDescent="0.35">
      <c r="A289" s="27" t="s">
        <v>1158</v>
      </c>
      <c r="B289" s="23" t="s">
        <v>2183</v>
      </c>
      <c r="C289" s="27">
        <v>4</v>
      </c>
      <c r="D289" s="27" t="s">
        <v>237</v>
      </c>
      <c r="E289" s="23" t="s">
        <v>2195</v>
      </c>
      <c r="F289" s="23" t="s">
        <v>2196</v>
      </c>
      <c r="G289" s="23" t="s">
        <v>1535</v>
      </c>
      <c r="H289" s="23" t="s">
        <v>1536</v>
      </c>
      <c r="I289" s="23" t="s">
        <v>1537</v>
      </c>
      <c r="J289" s="23" t="s">
        <v>1538</v>
      </c>
      <c r="K289" s="23" t="s">
        <v>143</v>
      </c>
      <c r="L289" s="23" t="s">
        <v>79</v>
      </c>
    </row>
    <row r="290" spans="1:12" ht="49.5" customHeight="1" x14ac:dyDescent="0.35">
      <c r="A290" s="28" t="s">
        <v>1158</v>
      </c>
      <c r="B290" s="23" t="s">
        <v>2183</v>
      </c>
      <c r="C290" s="28">
        <v>5</v>
      </c>
      <c r="D290" s="28" t="s">
        <v>241</v>
      </c>
      <c r="E290" s="23" t="s">
        <v>2197</v>
      </c>
      <c r="F290" s="23" t="s">
        <v>2198</v>
      </c>
      <c r="G290" s="23" t="s">
        <v>1541</v>
      </c>
      <c r="H290" s="23" t="s">
        <v>1542</v>
      </c>
      <c r="I290" s="23" t="s">
        <v>1543</v>
      </c>
      <c r="J290" s="23" t="s">
        <v>1544</v>
      </c>
      <c r="K290" s="23" t="s">
        <v>143</v>
      </c>
      <c r="L290" s="23" t="s">
        <v>79</v>
      </c>
    </row>
    <row r="291" spans="1:12" ht="49.5" customHeight="1" x14ac:dyDescent="0.35">
      <c r="A291" s="22" t="s">
        <v>1167</v>
      </c>
      <c r="B291" s="23" t="s">
        <v>2199</v>
      </c>
      <c r="C291" s="22">
        <v>0</v>
      </c>
      <c r="D291" s="22" t="s">
        <v>221</v>
      </c>
      <c r="E291" s="23" t="s">
        <v>2200</v>
      </c>
      <c r="F291" s="23" t="s">
        <v>2201</v>
      </c>
      <c r="G291" s="23" t="s">
        <v>1511</v>
      </c>
      <c r="H291" s="23" t="s">
        <v>2202</v>
      </c>
      <c r="I291" s="23" t="s">
        <v>1513</v>
      </c>
      <c r="J291" s="23" t="s">
        <v>2203</v>
      </c>
      <c r="K291" s="23" t="s">
        <v>143</v>
      </c>
      <c r="L291" s="23" t="s">
        <v>79</v>
      </c>
    </row>
    <row r="292" spans="1:12" ht="49.5" customHeight="1" x14ac:dyDescent="0.35">
      <c r="A292" s="24" t="s">
        <v>1167</v>
      </c>
      <c r="B292" s="23" t="s">
        <v>2199</v>
      </c>
      <c r="C292" s="24">
        <v>1</v>
      </c>
      <c r="D292" s="24" t="s">
        <v>225</v>
      </c>
      <c r="E292" s="23" t="s">
        <v>2204</v>
      </c>
      <c r="F292" s="23" t="s">
        <v>2205</v>
      </c>
      <c r="G292" s="23" t="s">
        <v>1517</v>
      </c>
      <c r="H292" s="23" t="s">
        <v>1518</v>
      </c>
      <c r="I292" s="23" t="s">
        <v>1519</v>
      </c>
      <c r="J292" s="23" t="s">
        <v>2206</v>
      </c>
      <c r="K292" s="23" t="s">
        <v>143</v>
      </c>
      <c r="L292" s="23" t="s">
        <v>79</v>
      </c>
    </row>
    <row r="293" spans="1:12" ht="49.5" customHeight="1" x14ac:dyDescent="0.35">
      <c r="A293" s="25" t="s">
        <v>1167</v>
      </c>
      <c r="B293" s="23" t="s">
        <v>2199</v>
      </c>
      <c r="C293" s="25">
        <v>2</v>
      </c>
      <c r="D293" s="25" t="s">
        <v>229</v>
      </c>
      <c r="E293" s="23" t="s">
        <v>2207</v>
      </c>
      <c r="F293" s="23" t="s">
        <v>2208</v>
      </c>
      <c r="G293" s="23" t="s">
        <v>1523</v>
      </c>
      <c r="H293" s="23" t="s">
        <v>1524</v>
      </c>
      <c r="I293" s="23" t="s">
        <v>1525</v>
      </c>
      <c r="J293" s="23" t="s">
        <v>1526</v>
      </c>
      <c r="K293" s="23" t="s">
        <v>143</v>
      </c>
      <c r="L293" s="23" t="s">
        <v>79</v>
      </c>
    </row>
    <row r="294" spans="1:12" ht="49.5" customHeight="1" x14ac:dyDescent="0.35">
      <c r="A294" s="26" t="s">
        <v>1167</v>
      </c>
      <c r="B294" s="3" t="s">
        <v>2199</v>
      </c>
      <c r="C294" s="26">
        <v>3</v>
      </c>
      <c r="D294" s="26" t="s">
        <v>233</v>
      </c>
      <c r="E294" s="3" t="s">
        <v>2209</v>
      </c>
      <c r="F294" s="3" t="s">
        <v>2210</v>
      </c>
      <c r="G294" s="3" t="s">
        <v>1529</v>
      </c>
      <c r="H294" s="3" t="s">
        <v>1530</v>
      </c>
      <c r="I294" s="3" t="s">
        <v>1531</v>
      </c>
      <c r="J294" s="3" t="s">
        <v>1532</v>
      </c>
      <c r="K294" s="3" t="s">
        <v>143</v>
      </c>
      <c r="L294" s="3" t="s">
        <v>79</v>
      </c>
    </row>
    <row r="295" spans="1:12" ht="49.5" customHeight="1" x14ac:dyDescent="0.35">
      <c r="A295" s="27" t="s">
        <v>1167</v>
      </c>
      <c r="B295" s="3" t="s">
        <v>2199</v>
      </c>
      <c r="C295" s="27">
        <v>4</v>
      </c>
      <c r="D295" s="27" t="s">
        <v>237</v>
      </c>
      <c r="E295" s="3" t="s">
        <v>2211</v>
      </c>
      <c r="F295" s="3" t="s">
        <v>2212</v>
      </c>
      <c r="G295" s="3" t="s">
        <v>1535</v>
      </c>
      <c r="H295" s="3" t="s">
        <v>1536</v>
      </c>
      <c r="I295" s="3" t="s">
        <v>1537</v>
      </c>
      <c r="J295" s="3" t="s">
        <v>1538</v>
      </c>
      <c r="K295" s="3" t="s">
        <v>143</v>
      </c>
      <c r="L295" s="3" t="s">
        <v>79</v>
      </c>
    </row>
    <row r="296" spans="1:12" ht="49.5" customHeight="1" x14ac:dyDescent="0.35">
      <c r="A296" s="28" t="s">
        <v>1167</v>
      </c>
      <c r="B296" s="3" t="s">
        <v>2199</v>
      </c>
      <c r="C296" s="28">
        <v>5</v>
      </c>
      <c r="D296" s="28" t="s">
        <v>241</v>
      </c>
      <c r="E296" s="3" t="s">
        <v>2213</v>
      </c>
      <c r="F296" s="3" t="s">
        <v>2214</v>
      </c>
      <c r="G296" s="3" t="s">
        <v>1541</v>
      </c>
      <c r="H296" s="3" t="s">
        <v>1542</v>
      </c>
      <c r="I296" s="3" t="s">
        <v>1543</v>
      </c>
      <c r="J296" s="3" t="s">
        <v>1544</v>
      </c>
      <c r="K296" s="3" t="s">
        <v>143</v>
      </c>
      <c r="L296" s="3" t="s">
        <v>79</v>
      </c>
    </row>
    <row r="297" spans="1:12" ht="49.5" customHeight="1" x14ac:dyDescent="0.35">
      <c r="A297" s="22" t="s">
        <v>1175</v>
      </c>
      <c r="B297" s="3" t="s">
        <v>2215</v>
      </c>
      <c r="C297" s="22">
        <v>0</v>
      </c>
      <c r="D297" s="22" t="s">
        <v>221</v>
      </c>
      <c r="E297" s="3" t="s">
        <v>2216</v>
      </c>
      <c r="F297" s="3" t="s">
        <v>2217</v>
      </c>
      <c r="G297" s="3" t="s">
        <v>1511</v>
      </c>
      <c r="H297" s="3" t="s">
        <v>2218</v>
      </c>
      <c r="I297" s="3" t="s">
        <v>1513</v>
      </c>
      <c r="J297" s="3" t="s">
        <v>2219</v>
      </c>
      <c r="K297" s="3" t="s">
        <v>143</v>
      </c>
      <c r="L297" s="3" t="s">
        <v>79</v>
      </c>
    </row>
    <row r="298" spans="1:12" ht="49.5" customHeight="1" x14ac:dyDescent="0.35">
      <c r="A298" s="24" t="s">
        <v>1175</v>
      </c>
      <c r="B298" s="3" t="s">
        <v>2215</v>
      </c>
      <c r="C298" s="24">
        <v>1</v>
      </c>
      <c r="D298" s="24" t="s">
        <v>225</v>
      </c>
      <c r="E298" s="3" t="s">
        <v>2220</v>
      </c>
      <c r="F298" s="3" t="s">
        <v>2221</v>
      </c>
      <c r="G298" s="3" t="s">
        <v>1517</v>
      </c>
      <c r="H298" s="3" t="s">
        <v>1518</v>
      </c>
      <c r="I298" s="3" t="s">
        <v>1519</v>
      </c>
      <c r="J298" s="3" t="s">
        <v>2222</v>
      </c>
      <c r="K298" s="3" t="s">
        <v>143</v>
      </c>
      <c r="L298" s="3" t="s">
        <v>79</v>
      </c>
    </row>
    <row r="299" spans="1:12" ht="49.5" customHeight="1" x14ac:dyDescent="0.35">
      <c r="A299" s="25" t="s">
        <v>1175</v>
      </c>
      <c r="B299" s="3" t="s">
        <v>2215</v>
      </c>
      <c r="C299" s="25">
        <v>2</v>
      </c>
      <c r="D299" s="25" t="s">
        <v>229</v>
      </c>
      <c r="E299" s="3" t="s">
        <v>2223</v>
      </c>
      <c r="F299" s="3" t="s">
        <v>2224</v>
      </c>
      <c r="G299" s="3" t="s">
        <v>1523</v>
      </c>
      <c r="H299" s="3" t="s">
        <v>1524</v>
      </c>
      <c r="I299" s="3" t="s">
        <v>1525</v>
      </c>
      <c r="J299" s="3" t="s">
        <v>1526</v>
      </c>
      <c r="K299" s="3" t="s">
        <v>143</v>
      </c>
      <c r="L299" s="3" t="s">
        <v>79</v>
      </c>
    </row>
    <row r="300" spans="1:12" ht="49.5" customHeight="1" x14ac:dyDescent="0.35">
      <c r="A300" s="26" t="s">
        <v>1175</v>
      </c>
      <c r="B300" s="23" t="s">
        <v>2215</v>
      </c>
      <c r="C300" s="26">
        <v>3</v>
      </c>
      <c r="D300" s="26" t="s">
        <v>233</v>
      </c>
      <c r="E300" s="23" t="s">
        <v>2225</v>
      </c>
      <c r="F300" s="23" t="s">
        <v>2226</v>
      </c>
      <c r="G300" s="23" t="s">
        <v>1529</v>
      </c>
      <c r="H300" s="23" t="s">
        <v>1530</v>
      </c>
      <c r="I300" s="23" t="s">
        <v>1531</v>
      </c>
      <c r="J300" s="23" t="s">
        <v>1532</v>
      </c>
      <c r="K300" s="23" t="s">
        <v>143</v>
      </c>
      <c r="L300" s="23" t="s">
        <v>79</v>
      </c>
    </row>
    <row r="301" spans="1:12" ht="49.5" customHeight="1" x14ac:dyDescent="0.35">
      <c r="A301" s="27" t="s">
        <v>1175</v>
      </c>
      <c r="B301" s="23" t="s">
        <v>2215</v>
      </c>
      <c r="C301" s="27">
        <v>4</v>
      </c>
      <c r="D301" s="27" t="s">
        <v>237</v>
      </c>
      <c r="E301" s="23" t="s">
        <v>2227</v>
      </c>
      <c r="F301" s="23" t="s">
        <v>2228</v>
      </c>
      <c r="G301" s="23" t="s">
        <v>1535</v>
      </c>
      <c r="H301" s="23" t="s">
        <v>1536</v>
      </c>
      <c r="I301" s="23" t="s">
        <v>1537</v>
      </c>
      <c r="J301" s="23" t="s">
        <v>1538</v>
      </c>
      <c r="K301" s="23" t="s">
        <v>143</v>
      </c>
      <c r="L301" s="23" t="s">
        <v>79</v>
      </c>
    </row>
    <row r="302" spans="1:12" ht="49.5" customHeight="1" x14ac:dyDescent="0.35">
      <c r="A302" s="28" t="s">
        <v>1175</v>
      </c>
      <c r="B302" s="23" t="s">
        <v>2215</v>
      </c>
      <c r="C302" s="28">
        <v>5</v>
      </c>
      <c r="D302" s="28" t="s">
        <v>241</v>
      </c>
      <c r="E302" s="23" t="s">
        <v>2229</v>
      </c>
      <c r="F302" s="23" t="s">
        <v>2230</v>
      </c>
      <c r="G302" s="23" t="s">
        <v>1541</v>
      </c>
      <c r="H302" s="23" t="s">
        <v>1542</v>
      </c>
      <c r="I302" s="23" t="s">
        <v>1543</v>
      </c>
      <c r="J302" s="23" t="s">
        <v>1544</v>
      </c>
      <c r="K302" s="23" t="s">
        <v>143</v>
      </c>
      <c r="L302" s="23" t="s">
        <v>79</v>
      </c>
    </row>
    <row r="303" spans="1:12" ht="49.5" customHeight="1" x14ac:dyDescent="0.35">
      <c r="A303" s="22" t="s">
        <v>1185</v>
      </c>
      <c r="B303" s="23" t="s">
        <v>2231</v>
      </c>
      <c r="C303" s="22">
        <v>0</v>
      </c>
      <c r="D303" s="22" t="s">
        <v>221</v>
      </c>
      <c r="E303" s="23" t="s">
        <v>2232</v>
      </c>
      <c r="F303" s="23" t="s">
        <v>2233</v>
      </c>
      <c r="G303" s="23" t="s">
        <v>1511</v>
      </c>
      <c r="H303" s="23" t="s">
        <v>2234</v>
      </c>
      <c r="I303" s="23" t="s">
        <v>1513</v>
      </c>
      <c r="J303" s="23" t="s">
        <v>2235</v>
      </c>
      <c r="K303" s="23" t="s">
        <v>143</v>
      </c>
      <c r="L303" s="23" t="s">
        <v>79</v>
      </c>
    </row>
    <row r="304" spans="1:12" ht="49.5" customHeight="1" x14ac:dyDescent="0.35">
      <c r="A304" s="24" t="s">
        <v>1185</v>
      </c>
      <c r="B304" s="23" t="s">
        <v>2231</v>
      </c>
      <c r="C304" s="24">
        <v>1</v>
      </c>
      <c r="D304" s="24" t="s">
        <v>225</v>
      </c>
      <c r="E304" s="23" t="s">
        <v>2236</v>
      </c>
      <c r="F304" s="23" t="s">
        <v>2237</v>
      </c>
      <c r="G304" s="23" t="s">
        <v>1517</v>
      </c>
      <c r="H304" s="23" t="s">
        <v>1518</v>
      </c>
      <c r="I304" s="23" t="s">
        <v>1519</v>
      </c>
      <c r="J304" s="23" t="s">
        <v>2238</v>
      </c>
      <c r="K304" s="23" t="s">
        <v>143</v>
      </c>
      <c r="L304" s="23" t="s">
        <v>79</v>
      </c>
    </row>
    <row r="305" spans="1:12" ht="49.5" customHeight="1" x14ac:dyDescent="0.35">
      <c r="A305" s="25" t="s">
        <v>1185</v>
      </c>
      <c r="B305" s="23" t="s">
        <v>2231</v>
      </c>
      <c r="C305" s="25">
        <v>2</v>
      </c>
      <c r="D305" s="25" t="s">
        <v>229</v>
      </c>
      <c r="E305" s="23" t="s">
        <v>2239</v>
      </c>
      <c r="F305" s="23" t="s">
        <v>2240</v>
      </c>
      <c r="G305" s="23" t="s">
        <v>1523</v>
      </c>
      <c r="H305" s="23" t="s">
        <v>1524</v>
      </c>
      <c r="I305" s="23" t="s">
        <v>1525</v>
      </c>
      <c r="J305" s="23" t="s">
        <v>1526</v>
      </c>
      <c r="K305" s="23" t="s">
        <v>143</v>
      </c>
      <c r="L305" s="23" t="s">
        <v>79</v>
      </c>
    </row>
    <row r="306" spans="1:12" ht="49.5" customHeight="1" x14ac:dyDescent="0.35">
      <c r="A306" s="26" t="s">
        <v>1185</v>
      </c>
      <c r="B306" s="3" t="s">
        <v>2231</v>
      </c>
      <c r="C306" s="26">
        <v>3</v>
      </c>
      <c r="D306" s="26" t="s">
        <v>233</v>
      </c>
      <c r="E306" s="3" t="s">
        <v>2241</v>
      </c>
      <c r="F306" s="3" t="s">
        <v>2242</v>
      </c>
      <c r="G306" s="3" t="s">
        <v>1529</v>
      </c>
      <c r="H306" s="3" t="s">
        <v>1530</v>
      </c>
      <c r="I306" s="3" t="s">
        <v>1531</v>
      </c>
      <c r="J306" s="3" t="s">
        <v>1532</v>
      </c>
      <c r="K306" s="3" t="s">
        <v>143</v>
      </c>
      <c r="L306" s="3" t="s">
        <v>79</v>
      </c>
    </row>
    <row r="307" spans="1:12" ht="49.5" customHeight="1" x14ac:dyDescent="0.35">
      <c r="A307" s="27" t="s">
        <v>1185</v>
      </c>
      <c r="B307" s="3" t="s">
        <v>2231</v>
      </c>
      <c r="C307" s="27">
        <v>4</v>
      </c>
      <c r="D307" s="27" t="s">
        <v>237</v>
      </c>
      <c r="E307" s="3" t="s">
        <v>2243</v>
      </c>
      <c r="F307" s="3" t="s">
        <v>2244</v>
      </c>
      <c r="G307" s="3" t="s">
        <v>1535</v>
      </c>
      <c r="H307" s="3" t="s">
        <v>1536</v>
      </c>
      <c r="I307" s="3" t="s">
        <v>1537</v>
      </c>
      <c r="J307" s="3" t="s">
        <v>1538</v>
      </c>
      <c r="K307" s="3" t="s">
        <v>143</v>
      </c>
      <c r="L307" s="3" t="s">
        <v>79</v>
      </c>
    </row>
    <row r="308" spans="1:12" ht="49.5" customHeight="1" x14ac:dyDescent="0.35">
      <c r="A308" s="28" t="s">
        <v>1185</v>
      </c>
      <c r="B308" s="3" t="s">
        <v>2231</v>
      </c>
      <c r="C308" s="28">
        <v>5</v>
      </c>
      <c r="D308" s="28" t="s">
        <v>241</v>
      </c>
      <c r="E308" s="3" t="s">
        <v>2245</v>
      </c>
      <c r="F308" s="3" t="s">
        <v>2246</v>
      </c>
      <c r="G308" s="3" t="s">
        <v>1541</v>
      </c>
      <c r="H308" s="3" t="s">
        <v>1542</v>
      </c>
      <c r="I308" s="3" t="s">
        <v>1543</v>
      </c>
      <c r="J308" s="3" t="s">
        <v>1544</v>
      </c>
      <c r="K308" s="3" t="s">
        <v>143</v>
      </c>
      <c r="L308" s="3" t="s">
        <v>79</v>
      </c>
    </row>
    <row r="309" spans="1:12" ht="49.5" customHeight="1" x14ac:dyDescent="0.35">
      <c r="A309" s="22" t="s">
        <v>1195</v>
      </c>
      <c r="B309" s="3" t="s">
        <v>2247</v>
      </c>
      <c r="C309" s="22">
        <v>0</v>
      </c>
      <c r="D309" s="22" t="s">
        <v>221</v>
      </c>
      <c r="E309" s="3" t="s">
        <v>2248</v>
      </c>
      <c r="F309" s="3" t="s">
        <v>2249</v>
      </c>
      <c r="G309" s="3" t="s">
        <v>1511</v>
      </c>
      <c r="H309" s="3" t="s">
        <v>2250</v>
      </c>
      <c r="I309" s="3" t="s">
        <v>1513</v>
      </c>
      <c r="J309" s="3" t="s">
        <v>2251</v>
      </c>
      <c r="K309" s="3" t="s">
        <v>143</v>
      </c>
      <c r="L309" s="3" t="s">
        <v>79</v>
      </c>
    </row>
    <row r="310" spans="1:12" ht="49.5" customHeight="1" x14ac:dyDescent="0.35">
      <c r="A310" s="24" t="s">
        <v>1195</v>
      </c>
      <c r="B310" s="3" t="s">
        <v>2247</v>
      </c>
      <c r="C310" s="24">
        <v>1</v>
      </c>
      <c r="D310" s="24" t="s">
        <v>225</v>
      </c>
      <c r="E310" s="3" t="s">
        <v>2252</v>
      </c>
      <c r="F310" s="3" t="s">
        <v>2253</v>
      </c>
      <c r="G310" s="3" t="s">
        <v>1517</v>
      </c>
      <c r="H310" s="3" t="s">
        <v>1518</v>
      </c>
      <c r="I310" s="3" t="s">
        <v>1519</v>
      </c>
      <c r="J310" s="3" t="s">
        <v>2254</v>
      </c>
      <c r="K310" s="3" t="s">
        <v>143</v>
      </c>
      <c r="L310" s="3" t="s">
        <v>79</v>
      </c>
    </row>
    <row r="311" spans="1:12" ht="49.5" customHeight="1" x14ac:dyDescent="0.35">
      <c r="A311" s="25" t="s">
        <v>1195</v>
      </c>
      <c r="B311" s="3" t="s">
        <v>2247</v>
      </c>
      <c r="C311" s="25">
        <v>2</v>
      </c>
      <c r="D311" s="25" t="s">
        <v>229</v>
      </c>
      <c r="E311" s="3" t="s">
        <v>2255</v>
      </c>
      <c r="F311" s="3" t="s">
        <v>2256</v>
      </c>
      <c r="G311" s="3" t="s">
        <v>1523</v>
      </c>
      <c r="H311" s="3" t="s">
        <v>1524</v>
      </c>
      <c r="I311" s="3" t="s">
        <v>1525</v>
      </c>
      <c r="J311" s="3" t="s">
        <v>1526</v>
      </c>
      <c r="K311" s="3" t="s">
        <v>143</v>
      </c>
      <c r="L311" s="3" t="s">
        <v>79</v>
      </c>
    </row>
    <row r="312" spans="1:12" ht="49.5" customHeight="1" x14ac:dyDescent="0.35">
      <c r="A312" s="26" t="s">
        <v>1195</v>
      </c>
      <c r="B312" s="23" t="s">
        <v>2247</v>
      </c>
      <c r="C312" s="26">
        <v>3</v>
      </c>
      <c r="D312" s="26" t="s">
        <v>233</v>
      </c>
      <c r="E312" s="23" t="s">
        <v>2257</v>
      </c>
      <c r="F312" s="23" t="s">
        <v>2258</v>
      </c>
      <c r="G312" s="23" t="s">
        <v>1529</v>
      </c>
      <c r="H312" s="23" t="s">
        <v>1530</v>
      </c>
      <c r="I312" s="23" t="s">
        <v>1531</v>
      </c>
      <c r="J312" s="23" t="s">
        <v>1532</v>
      </c>
      <c r="K312" s="23" t="s">
        <v>143</v>
      </c>
      <c r="L312" s="23" t="s">
        <v>79</v>
      </c>
    </row>
    <row r="313" spans="1:12" ht="49.5" customHeight="1" x14ac:dyDescent="0.35">
      <c r="A313" s="27" t="s">
        <v>1195</v>
      </c>
      <c r="B313" s="23" t="s">
        <v>2247</v>
      </c>
      <c r="C313" s="27">
        <v>4</v>
      </c>
      <c r="D313" s="27" t="s">
        <v>237</v>
      </c>
      <c r="E313" s="23" t="s">
        <v>2259</v>
      </c>
      <c r="F313" s="23" t="s">
        <v>2260</v>
      </c>
      <c r="G313" s="23" t="s">
        <v>1535</v>
      </c>
      <c r="H313" s="23" t="s">
        <v>1536</v>
      </c>
      <c r="I313" s="23" t="s">
        <v>1537</v>
      </c>
      <c r="J313" s="23" t="s">
        <v>1538</v>
      </c>
      <c r="K313" s="23" t="s">
        <v>143</v>
      </c>
      <c r="L313" s="23" t="s">
        <v>79</v>
      </c>
    </row>
    <row r="314" spans="1:12" ht="49.5" customHeight="1" x14ac:dyDescent="0.35">
      <c r="A314" s="28" t="s">
        <v>1195</v>
      </c>
      <c r="B314" s="23" t="s">
        <v>2247</v>
      </c>
      <c r="C314" s="28">
        <v>5</v>
      </c>
      <c r="D314" s="28" t="s">
        <v>241</v>
      </c>
      <c r="E314" s="23" t="s">
        <v>2261</v>
      </c>
      <c r="F314" s="23" t="s">
        <v>2262</v>
      </c>
      <c r="G314" s="23" t="s">
        <v>1541</v>
      </c>
      <c r="H314" s="23" t="s">
        <v>1542</v>
      </c>
      <c r="I314" s="23" t="s">
        <v>1543</v>
      </c>
      <c r="J314" s="23" t="s">
        <v>1544</v>
      </c>
      <c r="K314" s="23" t="s">
        <v>143</v>
      </c>
      <c r="L314" s="23" t="s">
        <v>79</v>
      </c>
    </row>
    <row r="315" spans="1:12" ht="49.5" customHeight="1" x14ac:dyDescent="0.35">
      <c r="A315" s="22" t="s">
        <v>1205</v>
      </c>
      <c r="B315" s="23" t="s">
        <v>2263</v>
      </c>
      <c r="C315" s="22">
        <v>0</v>
      </c>
      <c r="D315" s="22" t="s">
        <v>221</v>
      </c>
      <c r="E315" s="23" t="s">
        <v>2264</v>
      </c>
      <c r="F315" s="23" t="s">
        <v>2265</v>
      </c>
      <c r="G315" s="23" t="s">
        <v>1511</v>
      </c>
      <c r="H315" s="23" t="s">
        <v>2266</v>
      </c>
      <c r="I315" s="23" t="s">
        <v>1513</v>
      </c>
      <c r="J315" s="23" t="s">
        <v>2267</v>
      </c>
      <c r="K315" s="23" t="s">
        <v>143</v>
      </c>
      <c r="L315" s="23" t="s">
        <v>79</v>
      </c>
    </row>
    <row r="316" spans="1:12" ht="49.5" customHeight="1" x14ac:dyDescent="0.35">
      <c r="A316" s="24" t="s">
        <v>1205</v>
      </c>
      <c r="B316" s="23" t="s">
        <v>2263</v>
      </c>
      <c r="C316" s="24">
        <v>1</v>
      </c>
      <c r="D316" s="24" t="s">
        <v>225</v>
      </c>
      <c r="E316" s="23" t="s">
        <v>2268</v>
      </c>
      <c r="F316" s="23" t="s">
        <v>2269</v>
      </c>
      <c r="G316" s="23" t="s">
        <v>1517</v>
      </c>
      <c r="H316" s="23" t="s">
        <v>1518</v>
      </c>
      <c r="I316" s="23" t="s">
        <v>1519</v>
      </c>
      <c r="J316" s="23" t="s">
        <v>2270</v>
      </c>
      <c r="K316" s="23" t="s">
        <v>143</v>
      </c>
      <c r="L316" s="23" t="s">
        <v>79</v>
      </c>
    </row>
    <row r="317" spans="1:12" ht="49.5" customHeight="1" x14ac:dyDescent="0.35">
      <c r="A317" s="25" t="s">
        <v>1205</v>
      </c>
      <c r="B317" s="23" t="s">
        <v>2263</v>
      </c>
      <c r="C317" s="25">
        <v>2</v>
      </c>
      <c r="D317" s="25" t="s">
        <v>229</v>
      </c>
      <c r="E317" s="23" t="s">
        <v>2271</v>
      </c>
      <c r="F317" s="23" t="s">
        <v>2272</v>
      </c>
      <c r="G317" s="23" t="s">
        <v>1523</v>
      </c>
      <c r="H317" s="23" t="s">
        <v>1524</v>
      </c>
      <c r="I317" s="23" t="s">
        <v>1525</v>
      </c>
      <c r="J317" s="23" t="s">
        <v>1526</v>
      </c>
      <c r="K317" s="23" t="s">
        <v>143</v>
      </c>
      <c r="L317" s="23" t="s">
        <v>79</v>
      </c>
    </row>
    <row r="318" spans="1:12" ht="49.5" customHeight="1" x14ac:dyDescent="0.35">
      <c r="A318" s="26" t="s">
        <v>1205</v>
      </c>
      <c r="B318" s="3" t="s">
        <v>2263</v>
      </c>
      <c r="C318" s="26">
        <v>3</v>
      </c>
      <c r="D318" s="26" t="s">
        <v>233</v>
      </c>
      <c r="E318" s="3" t="s">
        <v>2273</v>
      </c>
      <c r="F318" s="3" t="s">
        <v>2274</v>
      </c>
      <c r="G318" s="3" t="s">
        <v>1529</v>
      </c>
      <c r="H318" s="3" t="s">
        <v>1530</v>
      </c>
      <c r="I318" s="3" t="s">
        <v>1531</v>
      </c>
      <c r="J318" s="3" t="s">
        <v>1532</v>
      </c>
      <c r="K318" s="3" t="s">
        <v>143</v>
      </c>
      <c r="L318" s="3" t="s">
        <v>79</v>
      </c>
    </row>
    <row r="319" spans="1:12" ht="49.5" customHeight="1" x14ac:dyDescent="0.35">
      <c r="A319" s="27" t="s">
        <v>1205</v>
      </c>
      <c r="B319" s="3" t="s">
        <v>2263</v>
      </c>
      <c r="C319" s="27">
        <v>4</v>
      </c>
      <c r="D319" s="27" t="s">
        <v>237</v>
      </c>
      <c r="E319" s="3" t="s">
        <v>2275</v>
      </c>
      <c r="F319" s="3" t="s">
        <v>2276</v>
      </c>
      <c r="G319" s="3" t="s">
        <v>1535</v>
      </c>
      <c r="H319" s="3" t="s">
        <v>1536</v>
      </c>
      <c r="I319" s="3" t="s">
        <v>1537</v>
      </c>
      <c r="J319" s="3" t="s">
        <v>1538</v>
      </c>
      <c r="K319" s="3" t="s">
        <v>143</v>
      </c>
      <c r="L319" s="3" t="s">
        <v>79</v>
      </c>
    </row>
    <row r="320" spans="1:12" ht="49.5" customHeight="1" x14ac:dyDescent="0.35">
      <c r="A320" s="28" t="s">
        <v>1205</v>
      </c>
      <c r="B320" s="3" t="s">
        <v>2263</v>
      </c>
      <c r="C320" s="28">
        <v>5</v>
      </c>
      <c r="D320" s="28" t="s">
        <v>241</v>
      </c>
      <c r="E320" s="3" t="s">
        <v>2277</v>
      </c>
      <c r="F320" s="3" t="s">
        <v>2278</v>
      </c>
      <c r="G320" s="3" t="s">
        <v>1541</v>
      </c>
      <c r="H320" s="3" t="s">
        <v>1542</v>
      </c>
      <c r="I320" s="3" t="s">
        <v>1543</v>
      </c>
      <c r="J320" s="3" t="s">
        <v>1544</v>
      </c>
      <c r="K320" s="3" t="s">
        <v>143</v>
      </c>
      <c r="L320" s="3" t="s">
        <v>79</v>
      </c>
    </row>
    <row r="321" spans="1:12" ht="49.5" customHeight="1" x14ac:dyDescent="0.35">
      <c r="A321" s="22" t="s">
        <v>1215</v>
      </c>
      <c r="B321" s="3" t="s">
        <v>2279</v>
      </c>
      <c r="C321" s="22">
        <v>0</v>
      </c>
      <c r="D321" s="22" t="s">
        <v>221</v>
      </c>
      <c r="E321" s="3" t="s">
        <v>2280</v>
      </c>
      <c r="F321" s="3" t="s">
        <v>2281</v>
      </c>
      <c r="G321" s="3" t="s">
        <v>1511</v>
      </c>
      <c r="H321" s="3" t="s">
        <v>2282</v>
      </c>
      <c r="I321" s="3" t="s">
        <v>1513</v>
      </c>
      <c r="J321" s="3" t="s">
        <v>2283</v>
      </c>
      <c r="K321" s="3" t="s">
        <v>143</v>
      </c>
      <c r="L321" s="3" t="s">
        <v>79</v>
      </c>
    </row>
    <row r="322" spans="1:12" ht="49.5" customHeight="1" x14ac:dyDescent="0.35">
      <c r="A322" s="24" t="s">
        <v>1215</v>
      </c>
      <c r="B322" s="3" t="s">
        <v>2279</v>
      </c>
      <c r="C322" s="24">
        <v>1</v>
      </c>
      <c r="D322" s="24" t="s">
        <v>225</v>
      </c>
      <c r="E322" s="3" t="s">
        <v>2284</v>
      </c>
      <c r="F322" s="3" t="s">
        <v>2285</v>
      </c>
      <c r="G322" s="3" t="s">
        <v>1517</v>
      </c>
      <c r="H322" s="3" t="s">
        <v>1518</v>
      </c>
      <c r="I322" s="3" t="s">
        <v>1519</v>
      </c>
      <c r="J322" s="3" t="s">
        <v>2286</v>
      </c>
      <c r="K322" s="3" t="s">
        <v>143</v>
      </c>
      <c r="L322" s="3" t="s">
        <v>79</v>
      </c>
    </row>
    <row r="323" spans="1:12" ht="49.5" customHeight="1" x14ac:dyDescent="0.35">
      <c r="A323" s="25" t="s">
        <v>1215</v>
      </c>
      <c r="B323" s="3" t="s">
        <v>2279</v>
      </c>
      <c r="C323" s="25">
        <v>2</v>
      </c>
      <c r="D323" s="25" t="s">
        <v>229</v>
      </c>
      <c r="E323" s="3" t="s">
        <v>2287</v>
      </c>
      <c r="F323" s="3" t="s">
        <v>2288</v>
      </c>
      <c r="G323" s="3" t="s">
        <v>1523</v>
      </c>
      <c r="H323" s="3" t="s">
        <v>1524</v>
      </c>
      <c r="I323" s="3" t="s">
        <v>1525</v>
      </c>
      <c r="J323" s="3" t="s">
        <v>1526</v>
      </c>
      <c r="K323" s="3" t="s">
        <v>143</v>
      </c>
      <c r="L323" s="3" t="s">
        <v>79</v>
      </c>
    </row>
    <row r="324" spans="1:12" ht="49.5" customHeight="1" x14ac:dyDescent="0.35">
      <c r="A324" s="26" t="s">
        <v>1215</v>
      </c>
      <c r="B324" s="23" t="s">
        <v>2279</v>
      </c>
      <c r="C324" s="26">
        <v>3</v>
      </c>
      <c r="D324" s="26" t="s">
        <v>233</v>
      </c>
      <c r="E324" s="23" t="s">
        <v>2289</v>
      </c>
      <c r="F324" s="23" t="s">
        <v>2290</v>
      </c>
      <c r="G324" s="23" t="s">
        <v>1529</v>
      </c>
      <c r="H324" s="23" t="s">
        <v>1530</v>
      </c>
      <c r="I324" s="23" t="s">
        <v>1531</v>
      </c>
      <c r="J324" s="23" t="s">
        <v>1532</v>
      </c>
      <c r="K324" s="23" t="s">
        <v>143</v>
      </c>
      <c r="L324" s="23" t="s">
        <v>79</v>
      </c>
    </row>
    <row r="325" spans="1:12" ht="49.5" customHeight="1" x14ac:dyDescent="0.35">
      <c r="A325" s="27" t="s">
        <v>1215</v>
      </c>
      <c r="B325" s="23" t="s">
        <v>2279</v>
      </c>
      <c r="C325" s="27">
        <v>4</v>
      </c>
      <c r="D325" s="27" t="s">
        <v>237</v>
      </c>
      <c r="E325" s="23" t="s">
        <v>2291</v>
      </c>
      <c r="F325" s="23" t="s">
        <v>2292</v>
      </c>
      <c r="G325" s="23" t="s">
        <v>1535</v>
      </c>
      <c r="H325" s="23" t="s">
        <v>1536</v>
      </c>
      <c r="I325" s="23" t="s">
        <v>1537</v>
      </c>
      <c r="J325" s="23" t="s">
        <v>1538</v>
      </c>
      <c r="K325" s="23" t="s">
        <v>143</v>
      </c>
      <c r="L325" s="23" t="s">
        <v>79</v>
      </c>
    </row>
    <row r="326" spans="1:12" ht="49.5" customHeight="1" x14ac:dyDescent="0.35">
      <c r="A326" s="28" t="s">
        <v>1215</v>
      </c>
      <c r="B326" s="23" t="s">
        <v>2279</v>
      </c>
      <c r="C326" s="28">
        <v>5</v>
      </c>
      <c r="D326" s="28" t="s">
        <v>241</v>
      </c>
      <c r="E326" s="23" t="s">
        <v>2293</v>
      </c>
      <c r="F326" s="23" t="s">
        <v>2294</v>
      </c>
      <c r="G326" s="23" t="s">
        <v>1541</v>
      </c>
      <c r="H326" s="23" t="s">
        <v>1542</v>
      </c>
      <c r="I326" s="23" t="s">
        <v>1543</v>
      </c>
      <c r="J326" s="23" t="s">
        <v>1544</v>
      </c>
      <c r="K326" s="23" t="s">
        <v>143</v>
      </c>
      <c r="L326" s="23" t="s">
        <v>79</v>
      </c>
    </row>
    <row r="327" spans="1:12" ht="49.5" customHeight="1" x14ac:dyDescent="0.35">
      <c r="A327" s="22" t="s">
        <v>1225</v>
      </c>
      <c r="B327" s="23" t="s">
        <v>2295</v>
      </c>
      <c r="C327" s="22">
        <v>0</v>
      </c>
      <c r="D327" s="22" t="s">
        <v>221</v>
      </c>
      <c r="E327" s="23" t="s">
        <v>2296</v>
      </c>
      <c r="F327" s="23" t="s">
        <v>2297</v>
      </c>
      <c r="G327" s="23" t="s">
        <v>1511</v>
      </c>
      <c r="H327" s="23" t="s">
        <v>2298</v>
      </c>
      <c r="I327" s="23" t="s">
        <v>1513</v>
      </c>
      <c r="J327" s="23" t="s">
        <v>2299</v>
      </c>
      <c r="K327" s="23" t="s">
        <v>143</v>
      </c>
      <c r="L327" s="23" t="s">
        <v>79</v>
      </c>
    </row>
    <row r="328" spans="1:12" ht="49.5" customHeight="1" x14ac:dyDescent="0.35">
      <c r="A328" s="24" t="s">
        <v>1225</v>
      </c>
      <c r="B328" s="23" t="s">
        <v>2295</v>
      </c>
      <c r="C328" s="24">
        <v>1</v>
      </c>
      <c r="D328" s="24" t="s">
        <v>225</v>
      </c>
      <c r="E328" s="23" t="s">
        <v>2300</v>
      </c>
      <c r="F328" s="23" t="s">
        <v>2301</v>
      </c>
      <c r="G328" s="23" t="s">
        <v>1517</v>
      </c>
      <c r="H328" s="23" t="s">
        <v>1518</v>
      </c>
      <c r="I328" s="23" t="s">
        <v>1519</v>
      </c>
      <c r="J328" s="23" t="s">
        <v>2302</v>
      </c>
      <c r="K328" s="23" t="s">
        <v>143</v>
      </c>
      <c r="L328" s="23" t="s">
        <v>79</v>
      </c>
    </row>
    <row r="329" spans="1:12" ht="49.5" customHeight="1" x14ac:dyDescent="0.35">
      <c r="A329" s="25" t="s">
        <v>1225</v>
      </c>
      <c r="B329" s="23" t="s">
        <v>2295</v>
      </c>
      <c r="C329" s="25">
        <v>2</v>
      </c>
      <c r="D329" s="25" t="s">
        <v>229</v>
      </c>
      <c r="E329" s="23" t="s">
        <v>2303</v>
      </c>
      <c r="F329" s="23" t="s">
        <v>2304</v>
      </c>
      <c r="G329" s="23" t="s">
        <v>1523</v>
      </c>
      <c r="H329" s="23" t="s">
        <v>1524</v>
      </c>
      <c r="I329" s="23" t="s">
        <v>1525</v>
      </c>
      <c r="J329" s="23" t="s">
        <v>1526</v>
      </c>
      <c r="K329" s="23" t="s">
        <v>143</v>
      </c>
      <c r="L329" s="23" t="s">
        <v>79</v>
      </c>
    </row>
    <row r="330" spans="1:12" ht="49.5" customHeight="1" x14ac:dyDescent="0.35">
      <c r="A330" s="26" t="s">
        <v>1225</v>
      </c>
      <c r="B330" s="3" t="s">
        <v>2295</v>
      </c>
      <c r="C330" s="26">
        <v>3</v>
      </c>
      <c r="D330" s="26" t="s">
        <v>233</v>
      </c>
      <c r="E330" s="3" t="s">
        <v>2305</v>
      </c>
      <c r="F330" s="3" t="s">
        <v>2306</v>
      </c>
      <c r="G330" s="3" t="s">
        <v>1529</v>
      </c>
      <c r="H330" s="3" t="s">
        <v>1530</v>
      </c>
      <c r="I330" s="3" t="s">
        <v>1531</v>
      </c>
      <c r="J330" s="3" t="s">
        <v>1532</v>
      </c>
      <c r="K330" s="3" t="s">
        <v>143</v>
      </c>
      <c r="L330" s="3" t="s">
        <v>79</v>
      </c>
    </row>
    <row r="331" spans="1:12" ht="49.5" customHeight="1" x14ac:dyDescent="0.35">
      <c r="A331" s="27" t="s">
        <v>1225</v>
      </c>
      <c r="B331" s="3" t="s">
        <v>2295</v>
      </c>
      <c r="C331" s="27">
        <v>4</v>
      </c>
      <c r="D331" s="27" t="s">
        <v>237</v>
      </c>
      <c r="E331" s="3" t="s">
        <v>2307</v>
      </c>
      <c r="F331" s="3" t="s">
        <v>2308</v>
      </c>
      <c r="G331" s="3" t="s">
        <v>1535</v>
      </c>
      <c r="H331" s="3" t="s">
        <v>1536</v>
      </c>
      <c r="I331" s="3" t="s">
        <v>1537</v>
      </c>
      <c r="J331" s="3" t="s">
        <v>1538</v>
      </c>
      <c r="K331" s="3" t="s">
        <v>143</v>
      </c>
      <c r="L331" s="3" t="s">
        <v>79</v>
      </c>
    </row>
    <row r="332" spans="1:12" ht="49.5" customHeight="1" x14ac:dyDescent="0.35">
      <c r="A332" s="28" t="s">
        <v>1225</v>
      </c>
      <c r="B332" s="3" t="s">
        <v>2295</v>
      </c>
      <c r="C332" s="28">
        <v>5</v>
      </c>
      <c r="D332" s="28" t="s">
        <v>241</v>
      </c>
      <c r="E332" s="3" t="s">
        <v>2309</v>
      </c>
      <c r="F332" s="3" t="s">
        <v>2310</v>
      </c>
      <c r="G332" s="3" t="s">
        <v>1541</v>
      </c>
      <c r="H332" s="3" t="s">
        <v>1542</v>
      </c>
      <c r="I332" s="3" t="s">
        <v>1543</v>
      </c>
      <c r="J332" s="3" t="s">
        <v>1544</v>
      </c>
      <c r="K332" s="3" t="s">
        <v>143</v>
      </c>
      <c r="L332" s="3" t="s">
        <v>79</v>
      </c>
    </row>
    <row r="333" spans="1:12" ht="49.5" customHeight="1" x14ac:dyDescent="0.35">
      <c r="A333" s="22" t="s">
        <v>1235</v>
      </c>
      <c r="B333" s="3" t="s">
        <v>2311</v>
      </c>
      <c r="C333" s="22">
        <v>0</v>
      </c>
      <c r="D333" s="22" t="s">
        <v>221</v>
      </c>
      <c r="E333" s="3" t="s">
        <v>2312</v>
      </c>
      <c r="F333" s="3" t="s">
        <v>2313</v>
      </c>
      <c r="G333" s="3" t="s">
        <v>1511</v>
      </c>
      <c r="H333" s="3" t="s">
        <v>2314</v>
      </c>
      <c r="I333" s="3" t="s">
        <v>1513</v>
      </c>
      <c r="J333" s="3" t="s">
        <v>2315</v>
      </c>
      <c r="K333" s="3" t="s">
        <v>143</v>
      </c>
      <c r="L333" s="3" t="s">
        <v>79</v>
      </c>
    </row>
    <row r="334" spans="1:12" ht="49.5" customHeight="1" x14ac:dyDescent="0.35">
      <c r="A334" s="24" t="s">
        <v>1235</v>
      </c>
      <c r="B334" s="3" t="s">
        <v>2311</v>
      </c>
      <c r="C334" s="24">
        <v>1</v>
      </c>
      <c r="D334" s="24" t="s">
        <v>225</v>
      </c>
      <c r="E334" s="3" t="s">
        <v>2316</v>
      </c>
      <c r="F334" s="3" t="s">
        <v>2317</v>
      </c>
      <c r="G334" s="3" t="s">
        <v>1517</v>
      </c>
      <c r="H334" s="3" t="s">
        <v>1518</v>
      </c>
      <c r="I334" s="3" t="s">
        <v>1519</v>
      </c>
      <c r="J334" s="3" t="s">
        <v>2318</v>
      </c>
      <c r="K334" s="3" t="s">
        <v>143</v>
      </c>
      <c r="L334" s="3" t="s">
        <v>79</v>
      </c>
    </row>
    <row r="335" spans="1:12" ht="49.5" customHeight="1" x14ac:dyDescent="0.35">
      <c r="A335" s="25" t="s">
        <v>1235</v>
      </c>
      <c r="B335" s="3" t="s">
        <v>2311</v>
      </c>
      <c r="C335" s="25">
        <v>2</v>
      </c>
      <c r="D335" s="25" t="s">
        <v>229</v>
      </c>
      <c r="E335" s="3" t="s">
        <v>2319</v>
      </c>
      <c r="F335" s="3" t="s">
        <v>2320</v>
      </c>
      <c r="G335" s="3" t="s">
        <v>1523</v>
      </c>
      <c r="H335" s="3" t="s">
        <v>1524</v>
      </c>
      <c r="I335" s="3" t="s">
        <v>1525</v>
      </c>
      <c r="J335" s="3" t="s">
        <v>1526</v>
      </c>
      <c r="K335" s="3" t="s">
        <v>143</v>
      </c>
      <c r="L335" s="3" t="s">
        <v>79</v>
      </c>
    </row>
    <row r="336" spans="1:12" ht="49.5" customHeight="1" x14ac:dyDescent="0.35">
      <c r="A336" s="26" t="s">
        <v>1235</v>
      </c>
      <c r="B336" s="23" t="s">
        <v>2311</v>
      </c>
      <c r="C336" s="26">
        <v>3</v>
      </c>
      <c r="D336" s="26" t="s">
        <v>233</v>
      </c>
      <c r="E336" s="23" t="s">
        <v>2321</v>
      </c>
      <c r="F336" s="23" t="s">
        <v>2322</v>
      </c>
      <c r="G336" s="23" t="s">
        <v>1529</v>
      </c>
      <c r="H336" s="23" t="s">
        <v>1530</v>
      </c>
      <c r="I336" s="23" t="s">
        <v>1531</v>
      </c>
      <c r="J336" s="23" t="s">
        <v>1532</v>
      </c>
      <c r="K336" s="23" t="s">
        <v>143</v>
      </c>
      <c r="L336" s="23" t="s">
        <v>79</v>
      </c>
    </row>
    <row r="337" spans="1:12" ht="49.5" customHeight="1" x14ac:dyDescent="0.35">
      <c r="A337" s="27" t="s">
        <v>1235</v>
      </c>
      <c r="B337" s="23" t="s">
        <v>2311</v>
      </c>
      <c r="C337" s="27">
        <v>4</v>
      </c>
      <c r="D337" s="27" t="s">
        <v>237</v>
      </c>
      <c r="E337" s="23" t="s">
        <v>2323</v>
      </c>
      <c r="F337" s="23" t="s">
        <v>2324</v>
      </c>
      <c r="G337" s="23" t="s">
        <v>1535</v>
      </c>
      <c r="H337" s="23" t="s">
        <v>1536</v>
      </c>
      <c r="I337" s="23" t="s">
        <v>1537</v>
      </c>
      <c r="J337" s="23" t="s">
        <v>1538</v>
      </c>
      <c r="K337" s="23" t="s">
        <v>143</v>
      </c>
      <c r="L337" s="23" t="s">
        <v>79</v>
      </c>
    </row>
    <row r="338" spans="1:12" ht="49.5" customHeight="1" x14ac:dyDescent="0.35">
      <c r="A338" s="28" t="s">
        <v>1235</v>
      </c>
      <c r="B338" s="23" t="s">
        <v>2311</v>
      </c>
      <c r="C338" s="28">
        <v>5</v>
      </c>
      <c r="D338" s="28" t="s">
        <v>241</v>
      </c>
      <c r="E338" s="23" t="s">
        <v>2325</v>
      </c>
      <c r="F338" s="23" t="s">
        <v>2326</v>
      </c>
      <c r="G338" s="23" t="s">
        <v>1541</v>
      </c>
      <c r="H338" s="23" t="s">
        <v>1542</v>
      </c>
      <c r="I338" s="23" t="s">
        <v>1543</v>
      </c>
      <c r="J338" s="23" t="s">
        <v>1544</v>
      </c>
      <c r="K338" s="23" t="s">
        <v>143</v>
      </c>
      <c r="L338" s="23" t="s">
        <v>79</v>
      </c>
    </row>
    <row r="339" spans="1:12" ht="49.5" customHeight="1" x14ac:dyDescent="0.35">
      <c r="A339" s="22" t="s">
        <v>1245</v>
      </c>
      <c r="B339" s="23" t="s">
        <v>2327</v>
      </c>
      <c r="C339" s="22">
        <v>0</v>
      </c>
      <c r="D339" s="22" t="s">
        <v>221</v>
      </c>
      <c r="E339" s="23" t="s">
        <v>2328</v>
      </c>
      <c r="F339" s="23" t="s">
        <v>2329</v>
      </c>
      <c r="G339" s="23" t="s">
        <v>1511</v>
      </c>
      <c r="H339" s="23" t="s">
        <v>2330</v>
      </c>
      <c r="I339" s="23" t="s">
        <v>1513</v>
      </c>
      <c r="J339" s="23" t="s">
        <v>2331</v>
      </c>
      <c r="K339" s="23" t="s">
        <v>143</v>
      </c>
      <c r="L339" s="23" t="s">
        <v>79</v>
      </c>
    </row>
    <row r="340" spans="1:12" ht="49.5" customHeight="1" x14ac:dyDescent="0.35">
      <c r="A340" s="24" t="s">
        <v>1245</v>
      </c>
      <c r="B340" s="23" t="s">
        <v>2327</v>
      </c>
      <c r="C340" s="24">
        <v>1</v>
      </c>
      <c r="D340" s="24" t="s">
        <v>225</v>
      </c>
      <c r="E340" s="23" t="s">
        <v>2332</v>
      </c>
      <c r="F340" s="23" t="s">
        <v>2333</v>
      </c>
      <c r="G340" s="23" t="s">
        <v>1517</v>
      </c>
      <c r="H340" s="23" t="s">
        <v>1518</v>
      </c>
      <c r="I340" s="23" t="s">
        <v>1519</v>
      </c>
      <c r="J340" s="23" t="s">
        <v>2334</v>
      </c>
      <c r="K340" s="23" t="s">
        <v>143</v>
      </c>
      <c r="L340" s="23" t="s">
        <v>79</v>
      </c>
    </row>
    <row r="341" spans="1:12" ht="49.5" customHeight="1" x14ac:dyDescent="0.35">
      <c r="A341" s="25" t="s">
        <v>1245</v>
      </c>
      <c r="B341" s="23" t="s">
        <v>2327</v>
      </c>
      <c r="C341" s="25">
        <v>2</v>
      </c>
      <c r="D341" s="25" t="s">
        <v>229</v>
      </c>
      <c r="E341" s="23" t="s">
        <v>2335</v>
      </c>
      <c r="F341" s="23" t="s">
        <v>2336</v>
      </c>
      <c r="G341" s="23" t="s">
        <v>1523</v>
      </c>
      <c r="H341" s="23" t="s">
        <v>1524</v>
      </c>
      <c r="I341" s="23" t="s">
        <v>1525</v>
      </c>
      <c r="J341" s="23" t="s">
        <v>1526</v>
      </c>
      <c r="K341" s="23" t="s">
        <v>143</v>
      </c>
      <c r="L341" s="23" t="s">
        <v>79</v>
      </c>
    </row>
    <row r="342" spans="1:12" ht="49.5" customHeight="1" x14ac:dyDescent="0.35">
      <c r="A342" s="26" t="s">
        <v>1245</v>
      </c>
      <c r="B342" s="3" t="s">
        <v>2327</v>
      </c>
      <c r="C342" s="26">
        <v>3</v>
      </c>
      <c r="D342" s="26" t="s">
        <v>233</v>
      </c>
      <c r="E342" s="3" t="s">
        <v>2337</v>
      </c>
      <c r="F342" s="3" t="s">
        <v>2338</v>
      </c>
      <c r="G342" s="3" t="s">
        <v>1529</v>
      </c>
      <c r="H342" s="3" t="s">
        <v>1530</v>
      </c>
      <c r="I342" s="3" t="s">
        <v>1531</v>
      </c>
      <c r="J342" s="3" t="s">
        <v>1532</v>
      </c>
      <c r="K342" s="3" t="s">
        <v>143</v>
      </c>
      <c r="L342" s="3" t="s">
        <v>79</v>
      </c>
    </row>
    <row r="343" spans="1:12" ht="49.5" customHeight="1" x14ac:dyDescent="0.35">
      <c r="A343" s="27" t="s">
        <v>1245</v>
      </c>
      <c r="B343" s="3" t="s">
        <v>2327</v>
      </c>
      <c r="C343" s="27">
        <v>4</v>
      </c>
      <c r="D343" s="27" t="s">
        <v>237</v>
      </c>
      <c r="E343" s="3" t="s">
        <v>2339</v>
      </c>
      <c r="F343" s="3" t="s">
        <v>2340</v>
      </c>
      <c r="G343" s="3" t="s">
        <v>1535</v>
      </c>
      <c r="H343" s="3" t="s">
        <v>1536</v>
      </c>
      <c r="I343" s="3" t="s">
        <v>1537</v>
      </c>
      <c r="J343" s="3" t="s">
        <v>1538</v>
      </c>
      <c r="K343" s="3" t="s">
        <v>143</v>
      </c>
      <c r="L343" s="3" t="s">
        <v>79</v>
      </c>
    </row>
    <row r="344" spans="1:12" ht="49.5" customHeight="1" x14ac:dyDescent="0.35">
      <c r="A344" s="28" t="s">
        <v>1245</v>
      </c>
      <c r="B344" s="3" t="s">
        <v>2327</v>
      </c>
      <c r="C344" s="28">
        <v>5</v>
      </c>
      <c r="D344" s="28" t="s">
        <v>241</v>
      </c>
      <c r="E344" s="3" t="s">
        <v>2341</v>
      </c>
      <c r="F344" s="3" t="s">
        <v>2342</v>
      </c>
      <c r="G344" s="3" t="s">
        <v>1541</v>
      </c>
      <c r="H344" s="3" t="s">
        <v>1542</v>
      </c>
      <c r="I344" s="3" t="s">
        <v>1543</v>
      </c>
      <c r="J344" s="3" t="s">
        <v>1544</v>
      </c>
      <c r="K344" s="3" t="s">
        <v>143</v>
      </c>
      <c r="L344" s="3" t="s">
        <v>79</v>
      </c>
    </row>
    <row r="345" spans="1:12" ht="49.5" customHeight="1" x14ac:dyDescent="0.35">
      <c r="A345" s="22" t="s">
        <v>1254</v>
      </c>
      <c r="B345" s="3" t="s">
        <v>2343</v>
      </c>
      <c r="C345" s="22">
        <v>0</v>
      </c>
      <c r="D345" s="22" t="s">
        <v>221</v>
      </c>
      <c r="E345" s="3" t="s">
        <v>2344</v>
      </c>
      <c r="F345" s="3" t="s">
        <v>2345</v>
      </c>
      <c r="G345" s="3" t="s">
        <v>1511</v>
      </c>
      <c r="H345" s="3" t="s">
        <v>2346</v>
      </c>
      <c r="I345" s="3" t="s">
        <v>1513</v>
      </c>
      <c r="J345" s="3" t="s">
        <v>2347</v>
      </c>
      <c r="K345" s="3" t="s">
        <v>143</v>
      </c>
      <c r="L345" s="3" t="s">
        <v>79</v>
      </c>
    </row>
    <row r="346" spans="1:12" ht="49.5" customHeight="1" x14ac:dyDescent="0.35">
      <c r="A346" s="24" t="s">
        <v>1254</v>
      </c>
      <c r="B346" s="3" t="s">
        <v>2343</v>
      </c>
      <c r="C346" s="24">
        <v>1</v>
      </c>
      <c r="D346" s="24" t="s">
        <v>225</v>
      </c>
      <c r="E346" s="3" t="s">
        <v>2348</v>
      </c>
      <c r="F346" s="3" t="s">
        <v>2349</v>
      </c>
      <c r="G346" s="3" t="s">
        <v>1517</v>
      </c>
      <c r="H346" s="3" t="s">
        <v>1518</v>
      </c>
      <c r="I346" s="3" t="s">
        <v>1519</v>
      </c>
      <c r="J346" s="3" t="s">
        <v>2350</v>
      </c>
      <c r="K346" s="3" t="s">
        <v>143</v>
      </c>
      <c r="L346" s="3" t="s">
        <v>79</v>
      </c>
    </row>
    <row r="347" spans="1:12" ht="49.5" customHeight="1" x14ac:dyDescent="0.35">
      <c r="A347" s="25" t="s">
        <v>1254</v>
      </c>
      <c r="B347" s="3" t="s">
        <v>2343</v>
      </c>
      <c r="C347" s="25">
        <v>2</v>
      </c>
      <c r="D347" s="25" t="s">
        <v>229</v>
      </c>
      <c r="E347" s="3" t="s">
        <v>2351</v>
      </c>
      <c r="F347" s="3" t="s">
        <v>2352</v>
      </c>
      <c r="G347" s="3" t="s">
        <v>1523</v>
      </c>
      <c r="H347" s="3" t="s">
        <v>1524</v>
      </c>
      <c r="I347" s="3" t="s">
        <v>1525</v>
      </c>
      <c r="J347" s="3" t="s">
        <v>1526</v>
      </c>
      <c r="K347" s="3" t="s">
        <v>143</v>
      </c>
      <c r="L347" s="3" t="s">
        <v>79</v>
      </c>
    </row>
    <row r="348" spans="1:12" ht="49.5" customHeight="1" x14ac:dyDescent="0.35">
      <c r="A348" s="26" t="s">
        <v>1254</v>
      </c>
      <c r="B348" s="23" t="s">
        <v>2343</v>
      </c>
      <c r="C348" s="26">
        <v>3</v>
      </c>
      <c r="D348" s="26" t="s">
        <v>233</v>
      </c>
      <c r="E348" s="23" t="s">
        <v>2353</v>
      </c>
      <c r="F348" s="23" t="s">
        <v>2354</v>
      </c>
      <c r="G348" s="23" t="s">
        <v>1529</v>
      </c>
      <c r="H348" s="23" t="s">
        <v>1530</v>
      </c>
      <c r="I348" s="23" t="s">
        <v>1531</v>
      </c>
      <c r="J348" s="23" t="s">
        <v>1532</v>
      </c>
      <c r="K348" s="23" t="s">
        <v>143</v>
      </c>
      <c r="L348" s="23" t="s">
        <v>79</v>
      </c>
    </row>
    <row r="349" spans="1:12" ht="49.5" customHeight="1" x14ac:dyDescent="0.35">
      <c r="A349" s="27" t="s">
        <v>1254</v>
      </c>
      <c r="B349" s="23" t="s">
        <v>2343</v>
      </c>
      <c r="C349" s="27">
        <v>4</v>
      </c>
      <c r="D349" s="27" t="s">
        <v>237</v>
      </c>
      <c r="E349" s="23" t="s">
        <v>2355</v>
      </c>
      <c r="F349" s="23" t="s">
        <v>2356</v>
      </c>
      <c r="G349" s="23" t="s">
        <v>1535</v>
      </c>
      <c r="H349" s="23" t="s">
        <v>1536</v>
      </c>
      <c r="I349" s="23" t="s">
        <v>1537</v>
      </c>
      <c r="J349" s="23" t="s">
        <v>1538</v>
      </c>
      <c r="K349" s="23" t="s">
        <v>143</v>
      </c>
      <c r="L349" s="23" t="s">
        <v>79</v>
      </c>
    </row>
    <row r="350" spans="1:12" ht="49.5" customHeight="1" x14ac:dyDescent="0.35">
      <c r="A350" s="28" t="s">
        <v>1254</v>
      </c>
      <c r="B350" s="23" t="s">
        <v>2343</v>
      </c>
      <c r="C350" s="28">
        <v>5</v>
      </c>
      <c r="D350" s="28" t="s">
        <v>241</v>
      </c>
      <c r="E350" s="23" t="s">
        <v>2357</v>
      </c>
      <c r="F350" s="23" t="s">
        <v>2358</v>
      </c>
      <c r="G350" s="23" t="s">
        <v>1541</v>
      </c>
      <c r="H350" s="23" t="s">
        <v>1542</v>
      </c>
      <c r="I350" s="23" t="s">
        <v>1543</v>
      </c>
      <c r="J350" s="23" t="s">
        <v>1544</v>
      </c>
      <c r="K350" s="23" t="s">
        <v>143</v>
      </c>
      <c r="L350" s="23" t="s">
        <v>79</v>
      </c>
    </row>
    <row r="351" spans="1:12" ht="49.5" customHeight="1" x14ac:dyDescent="0.35">
      <c r="A351" s="22" t="s">
        <v>1264</v>
      </c>
      <c r="B351" s="23" t="s">
        <v>2359</v>
      </c>
      <c r="C351" s="22">
        <v>0</v>
      </c>
      <c r="D351" s="22" t="s">
        <v>221</v>
      </c>
      <c r="E351" s="23" t="s">
        <v>2360</v>
      </c>
      <c r="F351" s="23" t="s">
        <v>2361</v>
      </c>
      <c r="G351" s="23" t="s">
        <v>1511</v>
      </c>
      <c r="H351" s="23" t="s">
        <v>2362</v>
      </c>
      <c r="I351" s="23" t="s">
        <v>1513</v>
      </c>
      <c r="J351" s="23" t="s">
        <v>2363</v>
      </c>
      <c r="K351" s="23" t="s">
        <v>143</v>
      </c>
      <c r="L351" s="23" t="s">
        <v>79</v>
      </c>
    </row>
    <row r="352" spans="1:12" ht="49.5" customHeight="1" x14ac:dyDescent="0.35">
      <c r="A352" s="24" t="s">
        <v>1264</v>
      </c>
      <c r="B352" s="23" t="s">
        <v>2359</v>
      </c>
      <c r="C352" s="24">
        <v>1</v>
      </c>
      <c r="D352" s="24" t="s">
        <v>225</v>
      </c>
      <c r="E352" s="23" t="s">
        <v>2364</v>
      </c>
      <c r="F352" s="23" t="s">
        <v>2365</v>
      </c>
      <c r="G352" s="23" t="s">
        <v>1517</v>
      </c>
      <c r="H352" s="23" t="s">
        <v>1518</v>
      </c>
      <c r="I352" s="23" t="s">
        <v>1519</v>
      </c>
      <c r="J352" s="23" t="s">
        <v>2366</v>
      </c>
      <c r="K352" s="23" t="s">
        <v>143</v>
      </c>
      <c r="L352" s="23" t="s">
        <v>79</v>
      </c>
    </row>
    <row r="353" spans="1:12" ht="49.5" customHeight="1" x14ac:dyDescent="0.35">
      <c r="A353" s="25" t="s">
        <v>1264</v>
      </c>
      <c r="B353" s="23" t="s">
        <v>2359</v>
      </c>
      <c r="C353" s="25">
        <v>2</v>
      </c>
      <c r="D353" s="25" t="s">
        <v>229</v>
      </c>
      <c r="E353" s="23" t="s">
        <v>2367</v>
      </c>
      <c r="F353" s="23" t="s">
        <v>2368</v>
      </c>
      <c r="G353" s="23" t="s">
        <v>1523</v>
      </c>
      <c r="H353" s="23" t="s">
        <v>1524</v>
      </c>
      <c r="I353" s="23" t="s">
        <v>1525</v>
      </c>
      <c r="J353" s="23" t="s">
        <v>1526</v>
      </c>
      <c r="K353" s="23" t="s">
        <v>143</v>
      </c>
      <c r="L353" s="23" t="s">
        <v>79</v>
      </c>
    </row>
    <row r="354" spans="1:12" ht="49.5" customHeight="1" x14ac:dyDescent="0.35">
      <c r="A354" s="26" t="s">
        <v>1264</v>
      </c>
      <c r="B354" s="3" t="s">
        <v>2359</v>
      </c>
      <c r="C354" s="26">
        <v>3</v>
      </c>
      <c r="D354" s="26" t="s">
        <v>233</v>
      </c>
      <c r="E354" s="3" t="s">
        <v>2369</v>
      </c>
      <c r="F354" s="3" t="s">
        <v>2370</v>
      </c>
      <c r="G354" s="3" t="s">
        <v>1529</v>
      </c>
      <c r="H354" s="3" t="s">
        <v>1530</v>
      </c>
      <c r="I354" s="3" t="s">
        <v>1531</v>
      </c>
      <c r="J354" s="3" t="s">
        <v>1532</v>
      </c>
      <c r="K354" s="3" t="s">
        <v>143</v>
      </c>
      <c r="L354" s="3" t="s">
        <v>79</v>
      </c>
    </row>
    <row r="355" spans="1:12" ht="49.5" customHeight="1" x14ac:dyDescent="0.35">
      <c r="A355" s="27" t="s">
        <v>1264</v>
      </c>
      <c r="B355" s="3" t="s">
        <v>2359</v>
      </c>
      <c r="C355" s="27">
        <v>4</v>
      </c>
      <c r="D355" s="27" t="s">
        <v>237</v>
      </c>
      <c r="E355" s="3" t="s">
        <v>2371</v>
      </c>
      <c r="F355" s="3" t="s">
        <v>2372</v>
      </c>
      <c r="G355" s="3" t="s">
        <v>1535</v>
      </c>
      <c r="H355" s="3" t="s">
        <v>1536</v>
      </c>
      <c r="I355" s="3" t="s">
        <v>1537</v>
      </c>
      <c r="J355" s="3" t="s">
        <v>1538</v>
      </c>
      <c r="K355" s="3" t="s">
        <v>143</v>
      </c>
      <c r="L355" s="3" t="s">
        <v>79</v>
      </c>
    </row>
    <row r="356" spans="1:12" ht="49.5" customHeight="1" x14ac:dyDescent="0.35">
      <c r="A356" s="28" t="s">
        <v>1264</v>
      </c>
      <c r="B356" s="3" t="s">
        <v>2359</v>
      </c>
      <c r="C356" s="28">
        <v>5</v>
      </c>
      <c r="D356" s="28" t="s">
        <v>241</v>
      </c>
      <c r="E356" s="3" t="s">
        <v>2373</v>
      </c>
      <c r="F356" s="3" t="s">
        <v>2374</v>
      </c>
      <c r="G356" s="3" t="s">
        <v>1541</v>
      </c>
      <c r="H356" s="3" t="s">
        <v>1542</v>
      </c>
      <c r="I356" s="3" t="s">
        <v>1543</v>
      </c>
      <c r="J356" s="3" t="s">
        <v>1544</v>
      </c>
      <c r="K356" s="3" t="s">
        <v>143</v>
      </c>
      <c r="L356" s="3" t="s">
        <v>79</v>
      </c>
    </row>
    <row r="357" spans="1:12" ht="49.5" customHeight="1" x14ac:dyDescent="0.35">
      <c r="A357" s="22" t="s">
        <v>1274</v>
      </c>
      <c r="B357" s="3" t="s">
        <v>2375</v>
      </c>
      <c r="C357" s="22">
        <v>0</v>
      </c>
      <c r="D357" s="22" t="s">
        <v>221</v>
      </c>
      <c r="E357" s="3" t="s">
        <v>2376</v>
      </c>
      <c r="F357" s="3" t="s">
        <v>2377</v>
      </c>
      <c r="G357" s="3" t="s">
        <v>1511</v>
      </c>
      <c r="H357" s="3" t="s">
        <v>2378</v>
      </c>
      <c r="I357" s="3" t="s">
        <v>1513</v>
      </c>
      <c r="J357" s="3" t="s">
        <v>2379</v>
      </c>
      <c r="K357" s="3" t="s">
        <v>143</v>
      </c>
      <c r="L357" s="3" t="s">
        <v>79</v>
      </c>
    </row>
    <row r="358" spans="1:12" ht="49.5" customHeight="1" x14ac:dyDescent="0.35">
      <c r="A358" s="24" t="s">
        <v>1274</v>
      </c>
      <c r="B358" s="3" t="s">
        <v>2375</v>
      </c>
      <c r="C358" s="24">
        <v>1</v>
      </c>
      <c r="D358" s="24" t="s">
        <v>225</v>
      </c>
      <c r="E358" s="3" t="s">
        <v>2380</v>
      </c>
      <c r="F358" s="3" t="s">
        <v>2381</v>
      </c>
      <c r="G358" s="3" t="s">
        <v>1517</v>
      </c>
      <c r="H358" s="3" t="s">
        <v>1518</v>
      </c>
      <c r="I358" s="3" t="s">
        <v>1519</v>
      </c>
      <c r="J358" s="3" t="s">
        <v>2382</v>
      </c>
      <c r="K358" s="3" t="s">
        <v>143</v>
      </c>
      <c r="L358" s="3" t="s">
        <v>79</v>
      </c>
    </row>
    <row r="359" spans="1:12" ht="49.5" customHeight="1" x14ac:dyDescent="0.35">
      <c r="A359" s="25" t="s">
        <v>1274</v>
      </c>
      <c r="B359" s="3" t="s">
        <v>2375</v>
      </c>
      <c r="C359" s="25">
        <v>2</v>
      </c>
      <c r="D359" s="25" t="s">
        <v>229</v>
      </c>
      <c r="E359" s="3" t="s">
        <v>2383</v>
      </c>
      <c r="F359" s="3" t="s">
        <v>2384</v>
      </c>
      <c r="G359" s="3" t="s">
        <v>1523</v>
      </c>
      <c r="H359" s="3" t="s">
        <v>1524</v>
      </c>
      <c r="I359" s="3" t="s">
        <v>1525</v>
      </c>
      <c r="J359" s="3" t="s">
        <v>1526</v>
      </c>
      <c r="K359" s="3" t="s">
        <v>143</v>
      </c>
      <c r="L359" s="3" t="s">
        <v>79</v>
      </c>
    </row>
    <row r="360" spans="1:12" ht="49.5" customHeight="1" x14ac:dyDescent="0.35">
      <c r="A360" s="26" t="s">
        <v>1274</v>
      </c>
      <c r="B360" s="23" t="s">
        <v>2375</v>
      </c>
      <c r="C360" s="26">
        <v>3</v>
      </c>
      <c r="D360" s="26" t="s">
        <v>233</v>
      </c>
      <c r="E360" s="23" t="s">
        <v>2385</v>
      </c>
      <c r="F360" s="23" t="s">
        <v>2386</v>
      </c>
      <c r="G360" s="23" t="s">
        <v>1529</v>
      </c>
      <c r="H360" s="23" t="s">
        <v>1530</v>
      </c>
      <c r="I360" s="23" t="s">
        <v>1531</v>
      </c>
      <c r="J360" s="23" t="s">
        <v>1532</v>
      </c>
      <c r="K360" s="23" t="s">
        <v>143</v>
      </c>
      <c r="L360" s="23" t="s">
        <v>79</v>
      </c>
    </row>
    <row r="361" spans="1:12" ht="49.5" customHeight="1" x14ac:dyDescent="0.35">
      <c r="A361" s="27" t="s">
        <v>1274</v>
      </c>
      <c r="B361" s="23" t="s">
        <v>2375</v>
      </c>
      <c r="C361" s="27">
        <v>4</v>
      </c>
      <c r="D361" s="27" t="s">
        <v>237</v>
      </c>
      <c r="E361" s="23" t="s">
        <v>2387</v>
      </c>
      <c r="F361" s="23" t="s">
        <v>2388</v>
      </c>
      <c r="G361" s="23" t="s">
        <v>1535</v>
      </c>
      <c r="H361" s="23" t="s">
        <v>1536</v>
      </c>
      <c r="I361" s="23" t="s">
        <v>1537</v>
      </c>
      <c r="J361" s="23" t="s">
        <v>1538</v>
      </c>
      <c r="K361" s="23" t="s">
        <v>143</v>
      </c>
      <c r="L361" s="23" t="s">
        <v>79</v>
      </c>
    </row>
    <row r="362" spans="1:12" ht="49.5" customHeight="1" x14ac:dyDescent="0.35">
      <c r="A362" s="28" t="s">
        <v>1274</v>
      </c>
      <c r="B362" s="23" t="s">
        <v>2375</v>
      </c>
      <c r="C362" s="28">
        <v>5</v>
      </c>
      <c r="D362" s="28" t="s">
        <v>241</v>
      </c>
      <c r="E362" s="23" t="s">
        <v>2389</v>
      </c>
      <c r="F362" s="23" t="s">
        <v>2390</v>
      </c>
      <c r="G362" s="23" t="s">
        <v>1541</v>
      </c>
      <c r="H362" s="23" t="s">
        <v>1542</v>
      </c>
      <c r="I362" s="23" t="s">
        <v>1543</v>
      </c>
      <c r="J362" s="23" t="s">
        <v>1544</v>
      </c>
      <c r="K362" s="23" t="s">
        <v>143</v>
      </c>
      <c r="L362" s="23" t="s">
        <v>79</v>
      </c>
    </row>
  </sheetData>
  <autoFilter ref="A2:L2" xr:uid="{00000000-0009-0000-0000-000008000000}"/>
  <mergeCells count="1">
    <mergeCell ref="A1:L1"/>
  </mergeCells>
  <pageMargins left="0.75" right="0.75" top="1" bottom="1" header="0.511811023622047" footer="0.511811023622047"/>
  <pageSetup paperSize="9"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H32"/>
  <sheetViews>
    <sheetView showGridLines="0" zoomScaleNormal="100" workbookViewId="0">
      <pane ySplit="2" topLeftCell="A30" activePane="bottomLeft" state="frozen"/>
      <selection pane="bottomLeft" sqref="A1:H1"/>
    </sheetView>
  </sheetViews>
  <sheetFormatPr baseColWidth="10" defaultColWidth="8.6328125" defaultRowHeight="14.5" x14ac:dyDescent="0.35"/>
  <cols>
    <col min="1" max="1" width="10" customWidth="1"/>
    <col min="2" max="2" width="22" customWidth="1"/>
    <col min="3" max="3" width="30" customWidth="1"/>
    <col min="4" max="4" width="50" customWidth="1"/>
    <col min="5" max="5" width="30" customWidth="1"/>
    <col min="6" max="6" width="14" customWidth="1"/>
    <col min="7" max="7" width="45" customWidth="1"/>
    <col min="8" max="8" width="35" customWidth="1"/>
  </cols>
  <sheetData>
    <row r="1" spans="1:8" ht="21.75" customHeight="1" x14ac:dyDescent="0.35">
      <c r="A1" s="38" t="s">
        <v>2391</v>
      </c>
      <c r="B1" s="38"/>
      <c r="C1" s="38"/>
      <c r="D1" s="38"/>
      <c r="E1" s="38"/>
      <c r="F1" s="38"/>
      <c r="G1" s="38"/>
      <c r="H1" s="38"/>
    </row>
    <row r="2" spans="1:8" ht="21.75" customHeight="1" x14ac:dyDescent="0.35">
      <c r="A2" s="1" t="s">
        <v>2392</v>
      </c>
      <c r="B2" s="1" t="s">
        <v>2393</v>
      </c>
      <c r="C2" s="1" t="s">
        <v>2394</v>
      </c>
      <c r="D2" s="1" t="s">
        <v>2395</v>
      </c>
      <c r="E2" s="1" t="s">
        <v>2396</v>
      </c>
      <c r="F2" s="1" t="s">
        <v>2397</v>
      </c>
      <c r="G2" s="1" t="s">
        <v>2398</v>
      </c>
      <c r="H2" s="1" t="s">
        <v>2399</v>
      </c>
    </row>
    <row r="3" spans="1:8" ht="45" customHeight="1" x14ac:dyDescent="0.35">
      <c r="A3" s="2" t="s">
        <v>2400</v>
      </c>
      <c r="B3" s="2" t="s">
        <v>2401</v>
      </c>
      <c r="C3" s="3" t="s">
        <v>2402</v>
      </c>
      <c r="D3" s="3" t="s">
        <v>2403</v>
      </c>
      <c r="E3" s="3" t="s">
        <v>2404</v>
      </c>
      <c r="F3" s="3" t="s">
        <v>2405</v>
      </c>
      <c r="G3" s="3" t="s">
        <v>2406</v>
      </c>
      <c r="H3" s="3" t="s">
        <v>2407</v>
      </c>
    </row>
    <row r="4" spans="1:8" ht="45" customHeight="1" x14ac:dyDescent="0.35">
      <c r="A4" s="4" t="s">
        <v>2408</v>
      </c>
      <c r="B4" s="4" t="s">
        <v>2401</v>
      </c>
      <c r="C4" s="5" t="s">
        <v>2409</v>
      </c>
      <c r="D4" s="5" t="s">
        <v>2410</v>
      </c>
      <c r="E4" s="5" t="s">
        <v>2411</v>
      </c>
      <c r="F4" s="5" t="s">
        <v>2405</v>
      </c>
      <c r="G4" s="5" t="s">
        <v>2412</v>
      </c>
      <c r="H4" s="5" t="s">
        <v>2413</v>
      </c>
    </row>
    <row r="5" spans="1:8" ht="45" customHeight="1" x14ac:dyDescent="0.35">
      <c r="A5" s="2" t="s">
        <v>2414</v>
      </c>
      <c r="B5" s="2" t="s">
        <v>2401</v>
      </c>
      <c r="C5" s="3" t="s">
        <v>2415</v>
      </c>
      <c r="D5" s="3" t="s">
        <v>2416</v>
      </c>
      <c r="E5" s="3" t="s">
        <v>2417</v>
      </c>
      <c r="F5" s="3" t="s">
        <v>2405</v>
      </c>
      <c r="G5" s="3" t="s">
        <v>2418</v>
      </c>
      <c r="H5" s="3" t="s">
        <v>2419</v>
      </c>
    </row>
    <row r="6" spans="1:8" ht="45" customHeight="1" x14ac:dyDescent="0.35">
      <c r="A6" s="4" t="s">
        <v>2420</v>
      </c>
      <c r="B6" s="4" t="s">
        <v>2421</v>
      </c>
      <c r="C6" s="5" t="s">
        <v>2422</v>
      </c>
      <c r="D6" s="5" t="s">
        <v>2423</v>
      </c>
      <c r="E6" s="5" t="s">
        <v>129</v>
      </c>
      <c r="F6" s="5" t="s">
        <v>2405</v>
      </c>
      <c r="G6" s="5" t="s">
        <v>2424</v>
      </c>
      <c r="H6" s="5" t="s">
        <v>2413</v>
      </c>
    </row>
    <row r="7" spans="1:8" ht="45" customHeight="1" x14ac:dyDescent="0.35">
      <c r="A7" s="2" t="s">
        <v>2425</v>
      </c>
      <c r="B7" s="2" t="s">
        <v>2421</v>
      </c>
      <c r="C7" s="3" t="s">
        <v>2426</v>
      </c>
      <c r="D7" s="3" t="s">
        <v>2427</v>
      </c>
      <c r="E7" s="3" t="s">
        <v>2428</v>
      </c>
      <c r="F7" s="3" t="s">
        <v>2405</v>
      </c>
      <c r="G7" s="3" t="s">
        <v>2429</v>
      </c>
      <c r="H7" s="3" t="s">
        <v>2413</v>
      </c>
    </row>
    <row r="8" spans="1:8" ht="45" customHeight="1" x14ac:dyDescent="0.35">
      <c r="A8" s="4" t="s">
        <v>2430</v>
      </c>
      <c r="B8" s="4" t="s">
        <v>2421</v>
      </c>
      <c r="C8" s="5" t="s">
        <v>2431</v>
      </c>
      <c r="D8" s="5" t="s">
        <v>2432</v>
      </c>
      <c r="E8" s="5" t="s">
        <v>160</v>
      </c>
      <c r="F8" s="5" t="s">
        <v>2405</v>
      </c>
      <c r="G8" s="5" t="s">
        <v>2433</v>
      </c>
      <c r="H8" s="5" t="s">
        <v>2434</v>
      </c>
    </row>
    <row r="9" spans="1:8" ht="45" customHeight="1" x14ac:dyDescent="0.35">
      <c r="A9" s="2" t="s">
        <v>2435</v>
      </c>
      <c r="B9" s="2" t="s">
        <v>2421</v>
      </c>
      <c r="C9" s="3" t="s">
        <v>2436</v>
      </c>
      <c r="D9" s="3" t="s">
        <v>2437</v>
      </c>
      <c r="E9" s="3" t="s">
        <v>160</v>
      </c>
      <c r="F9" s="3" t="s">
        <v>2405</v>
      </c>
      <c r="G9" s="3" t="s">
        <v>2438</v>
      </c>
      <c r="H9" s="3" t="s">
        <v>2413</v>
      </c>
    </row>
    <row r="10" spans="1:8" ht="45" customHeight="1" x14ac:dyDescent="0.35">
      <c r="A10" s="4" t="s">
        <v>2439</v>
      </c>
      <c r="B10" s="4" t="s">
        <v>2440</v>
      </c>
      <c r="C10" s="5" t="s">
        <v>2441</v>
      </c>
      <c r="D10" s="5" t="s">
        <v>2442</v>
      </c>
      <c r="E10" s="5" t="s">
        <v>173</v>
      </c>
      <c r="F10" s="5" t="s">
        <v>2405</v>
      </c>
      <c r="G10" s="5" t="s">
        <v>2443</v>
      </c>
      <c r="H10" s="5" t="s">
        <v>2419</v>
      </c>
    </row>
    <row r="11" spans="1:8" ht="45" customHeight="1" x14ac:dyDescent="0.35">
      <c r="A11" s="2" t="s">
        <v>2444</v>
      </c>
      <c r="B11" s="2" t="s">
        <v>2440</v>
      </c>
      <c r="C11" s="3" t="s">
        <v>2445</v>
      </c>
      <c r="D11" s="3" t="s">
        <v>2446</v>
      </c>
      <c r="E11" s="3" t="s">
        <v>2447</v>
      </c>
      <c r="F11" s="3" t="s">
        <v>2405</v>
      </c>
      <c r="G11" s="3" t="s">
        <v>2448</v>
      </c>
      <c r="H11" s="3" t="s">
        <v>2419</v>
      </c>
    </row>
    <row r="12" spans="1:8" ht="45" customHeight="1" x14ac:dyDescent="0.35">
      <c r="A12" s="4" t="s">
        <v>2449</v>
      </c>
      <c r="B12" s="4" t="s">
        <v>2440</v>
      </c>
      <c r="C12" s="5" t="s">
        <v>738</v>
      </c>
      <c r="D12" s="5" t="s">
        <v>2450</v>
      </c>
      <c r="E12" s="5" t="s">
        <v>71</v>
      </c>
      <c r="F12" s="5" t="s">
        <v>2405</v>
      </c>
      <c r="G12" s="5" t="s">
        <v>2451</v>
      </c>
      <c r="H12" s="5" t="s">
        <v>2413</v>
      </c>
    </row>
    <row r="13" spans="1:8" ht="45" customHeight="1" x14ac:dyDescent="0.35">
      <c r="A13" s="2" t="s">
        <v>2452</v>
      </c>
      <c r="B13" s="2" t="s">
        <v>2453</v>
      </c>
      <c r="C13" s="3" t="s">
        <v>2454</v>
      </c>
      <c r="D13" s="3" t="s">
        <v>2455</v>
      </c>
      <c r="E13" s="3" t="s">
        <v>2456</v>
      </c>
      <c r="F13" s="3" t="s">
        <v>2405</v>
      </c>
      <c r="G13" s="3" t="s">
        <v>2457</v>
      </c>
      <c r="H13" s="3" t="s">
        <v>2413</v>
      </c>
    </row>
    <row r="14" spans="1:8" ht="45" customHeight="1" x14ac:dyDescent="0.35">
      <c r="A14" s="4" t="s">
        <v>2458</v>
      </c>
      <c r="B14" s="4" t="s">
        <v>2453</v>
      </c>
      <c r="C14" s="5" t="s">
        <v>2459</v>
      </c>
      <c r="D14" s="5" t="s">
        <v>2460</v>
      </c>
      <c r="E14" s="5" t="s">
        <v>2461</v>
      </c>
      <c r="F14" s="5" t="s">
        <v>2405</v>
      </c>
      <c r="G14" s="5" t="s">
        <v>2462</v>
      </c>
      <c r="H14" s="5" t="s">
        <v>2419</v>
      </c>
    </row>
    <row r="15" spans="1:8" ht="45" customHeight="1" x14ac:dyDescent="0.35">
      <c r="A15" s="2" t="s">
        <v>2463</v>
      </c>
      <c r="B15" s="2" t="s">
        <v>2453</v>
      </c>
      <c r="C15" s="3" t="s">
        <v>2464</v>
      </c>
      <c r="D15" s="3" t="s">
        <v>2465</v>
      </c>
      <c r="E15" s="3" t="s">
        <v>2466</v>
      </c>
      <c r="F15" s="3" t="s">
        <v>2405</v>
      </c>
      <c r="G15" s="3" t="s">
        <v>2467</v>
      </c>
      <c r="H15" s="3" t="s">
        <v>2419</v>
      </c>
    </row>
    <row r="16" spans="1:8" ht="45" customHeight="1" x14ac:dyDescent="0.35">
      <c r="A16" s="4" t="s">
        <v>2468</v>
      </c>
      <c r="B16" s="4" t="s">
        <v>2469</v>
      </c>
      <c r="C16" s="5" t="s">
        <v>2470</v>
      </c>
      <c r="D16" s="5" t="s">
        <v>2471</v>
      </c>
      <c r="E16" s="5" t="s">
        <v>71</v>
      </c>
      <c r="F16" s="5" t="s">
        <v>2405</v>
      </c>
      <c r="G16" s="5" t="s">
        <v>2472</v>
      </c>
      <c r="H16" s="5" t="s">
        <v>2419</v>
      </c>
    </row>
    <row r="17" spans="1:8" ht="45" customHeight="1" x14ac:dyDescent="0.35">
      <c r="A17" s="2" t="s">
        <v>2473</v>
      </c>
      <c r="B17" s="2" t="s">
        <v>2469</v>
      </c>
      <c r="C17" s="3" t="s">
        <v>2474</v>
      </c>
      <c r="D17" s="3" t="s">
        <v>2475</v>
      </c>
      <c r="E17" s="3" t="s">
        <v>2456</v>
      </c>
      <c r="F17" s="3" t="s">
        <v>2405</v>
      </c>
      <c r="G17" s="3" t="s">
        <v>2476</v>
      </c>
      <c r="H17" s="3" t="s">
        <v>2477</v>
      </c>
    </row>
    <row r="18" spans="1:8" ht="45" customHeight="1" x14ac:dyDescent="0.35">
      <c r="A18" s="4" t="s">
        <v>2478</v>
      </c>
      <c r="B18" s="4" t="s">
        <v>2469</v>
      </c>
      <c r="C18" s="5" t="s">
        <v>2479</v>
      </c>
      <c r="D18" s="5" t="s">
        <v>2480</v>
      </c>
      <c r="E18" s="5" t="s">
        <v>144</v>
      </c>
      <c r="F18" s="5" t="s">
        <v>2405</v>
      </c>
      <c r="G18" s="5" t="s">
        <v>2481</v>
      </c>
      <c r="H18" s="5" t="s">
        <v>2419</v>
      </c>
    </row>
    <row r="19" spans="1:8" ht="45" customHeight="1" x14ac:dyDescent="0.35">
      <c r="A19" s="2" t="s">
        <v>2482</v>
      </c>
      <c r="B19" s="2" t="s">
        <v>2483</v>
      </c>
      <c r="C19" s="3" t="s">
        <v>2484</v>
      </c>
      <c r="D19" s="3" t="s">
        <v>2485</v>
      </c>
      <c r="E19" s="3" t="s">
        <v>2486</v>
      </c>
      <c r="F19" s="3" t="s">
        <v>2405</v>
      </c>
      <c r="G19" s="3" t="s">
        <v>2487</v>
      </c>
      <c r="H19" s="3" t="s">
        <v>2413</v>
      </c>
    </row>
    <row r="20" spans="1:8" ht="45" customHeight="1" x14ac:dyDescent="0.35">
      <c r="A20" s="4" t="s">
        <v>2488</v>
      </c>
      <c r="B20" s="4" t="s">
        <v>2483</v>
      </c>
      <c r="C20" s="5" t="s">
        <v>2489</v>
      </c>
      <c r="D20" s="5" t="s">
        <v>2490</v>
      </c>
      <c r="E20" s="5" t="s">
        <v>160</v>
      </c>
      <c r="F20" s="5" t="s">
        <v>2491</v>
      </c>
      <c r="G20" s="5" t="s">
        <v>2492</v>
      </c>
      <c r="H20" s="5" t="s">
        <v>2477</v>
      </c>
    </row>
    <row r="21" spans="1:8" ht="45" customHeight="1" x14ac:dyDescent="0.35">
      <c r="A21" s="2" t="s">
        <v>2493</v>
      </c>
      <c r="B21" s="2" t="s">
        <v>2483</v>
      </c>
      <c r="C21" s="3" t="s">
        <v>2494</v>
      </c>
      <c r="D21" s="3" t="s">
        <v>2495</v>
      </c>
      <c r="E21" s="3" t="s">
        <v>160</v>
      </c>
      <c r="F21" s="3" t="s">
        <v>2405</v>
      </c>
      <c r="G21" s="3" t="s">
        <v>2496</v>
      </c>
      <c r="H21" s="3" t="s">
        <v>2413</v>
      </c>
    </row>
    <row r="22" spans="1:8" ht="45" customHeight="1" x14ac:dyDescent="0.35">
      <c r="A22" s="4" t="s">
        <v>2497</v>
      </c>
      <c r="B22" s="4" t="s">
        <v>2498</v>
      </c>
      <c r="C22" s="5" t="s">
        <v>2499</v>
      </c>
      <c r="D22" s="5" t="s">
        <v>2500</v>
      </c>
      <c r="E22" s="5" t="s">
        <v>129</v>
      </c>
      <c r="F22" s="5" t="s">
        <v>2405</v>
      </c>
      <c r="G22" s="5" t="s">
        <v>2501</v>
      </c>
      <c r="H22" s="5" t="s">
        <v>2413</v>
      </c>
    </row>
    <row r="23" spans="1:8" ht="45" customHeight="1" x14ac:dyDescent="0.35">
      <c r="A23" s="2" t="s">
        <v>2502</v>
      </c>
      <c r="B23" s="2" t="s">
        <v>2498</v>
      </c>
      <c r="C23" s="3" t="s">
        <v>2503</v>
      </c>
      <c r="D23" s="3" t="s">
        <v>2504</v>
      </c>
      <c r="E23" s="3" t="s">
        <v>2447</v>
      </c>
      <c r="F23" s="3" t="s">
        <v>2405</v>
      </c>
      <c r="G23" s="3" t="s">
        <v>2505</v>
      </c>
      <c r="H23" s="3" t="s">
        <v>2419</v>
      </c>
    </row>
    <row r="24" spans="1:8" ht="45" customHeight="1" x14ac:dyDescent="0.35">
      <c r="A24" s="4" t="s">
        <v>2506</v>
      </c>
      <c r="B24" s="4" t="s">
        <v>2507</v>
      </c>
      <c r="C24" s="5" t="s">
        <v>2508</v>
      </c>
      <c r="D24" s="5" t="s">
        <v>2509</v>
      </c>
      <c r="E24" s="5" t="s">
        <v>144</v>
      </c>
      <c r="F24" s="5" t="s">
        <v>2510</v>
      </c>
      <c r="G24" s="5" t="s">
        <v>2511</v>
      </c>
      <c r="H24" s="5" t="s">
        <v>2419</v>
      </c>
    </row>
    <row r="25" spans="1:8" ht="45" customHeight="1" x14ac:dyDescent="0.35">
      <c r="A25" s="2" t="s">
        <v>2512</v>
      </c>
      <c r="B25" s="2" t="s">
        <v>2507</v>
      </c>
      <c r="C25" s="3" t="s">
        <v>2513</v>
      </c>
      <c r="D25" s="3" t="s">
        <v>2514</v>
      </c>
      <c r="E25" s="3" t="s">
        <v>2515</v>
      </c>
      <c r="F25" s="3" t="s">
        <v>2510</v>
      </c>
      <c r="G25" s="3" t="s">
        <v>2516</v>
      </c>
      <c r="H25" s="3" t="s">
        <v>2419</v>
      </c>
    </row>
    <row r="26" spans="1:8" ht="45" customHeight="1" x14ac:dyDescent="0.35">
      <c r="A26" s="4" t="s">
        <v>2517</v>
      </c>
      <c r="B26" s="4" t="s">
        <v>2507</v>
      </c>
      <c r="C26" s="5" t="s">
        <v>2518</v>
      </c>
      <c r="D26" s="5" t="s">
        <v>2519</v>
      </c>
      <c r="E26" s="5" t="s">
        <v>114</v>
      </c>
      <c r="F26" s="5" t="s">
        <v>2405</v>
      </c>
      <c r="G26" s="5" t="s">
        <v>2520</v>
      </c>
      <c r="H26" s="5" t="s">
        <v>2419</v>
      </c>
    </row>
    <row r="27" spans="1:8" ht="45" customHeight="1" x14ac:dyDescent="0.35">
      <c r="A27" s="2" t="s">
        <v>2521</v>
      </c>
      <c r="B27" s="2" t="s">
        <v>2522</v>
      </c>
      <c r="C27" s="3" t="s">
        <v>2523</v>
      </c>
      <c r="D27" s="3" t="s">
        <v>2524</v>
      </c>
      <c r="E27" s="3" t="s">
        <v>71</v>
      </c>
      <c r="F27" s="3" t="s">
        <v>2405</v>
      </c>
      <c r="G27" s="3" t="s">
        <v>2525</v>
      </c>
      <c r="H27" s="3" t="s">
        <v>2413</v>
      </c>
    </row>
    <row r="28" spans="1:8" ht="45" customHeight="1" x14ac:dyDescent="0.35">
      <c r="A28" s="4" t="s">
        <v>2526</v>
      </c>
      <c r="B28" s="4" t="s">
        <v>2522</v>
      </c>
      <c r="C28" s="5" t="s">
        <v>2527</v>
      </c>
      <c r="D28" s="5" t="s">
        <v>2528</v>
      </c>
      <c r="E28" s="5" t="s">
        <v>71</v>
      </c>
      <c r="F28" s="5" t="s">
        <v>2405</v>
      </c>
      <c r="G28" s="5" t="s">
        <v>2529</v>
      </c>
      <c r="H28" s="5" t="s">
        <v>2419</v>
      </c>
    </row>
    <row r="29" spans="1:8" ht="45" customHeight="1" x14ac:dyDescent="0.35">
      <c r="A29" s="2" t="s">
        <v>2530</v>
      </c>
      <c r="B29" s="2" t="s">
        <v>2531</v>
      </c>
      <c r="C29" s="3" t="s">
        <v>2532</v>
      </c>
      <c r="D29" s="3" t="s">
        <v>2533</v>
      </c>
      <c r="E29" s="3" t="s">
        <v>173</v>
      </c>
      <c r="F29" s="3" t="s">
        <v>2405</v>
      </c>
      <c r="G29" s="3" t="s">
        <v>2534</v>
      </c>
      <c r="H29" s="3" t="s">
        <v>2413</v>
      </c>
    </row>
    <row r="30" spans="1:8" ht="45" customHeight="1" x14ac:dyDescent="0.35">
      <c r="A30" s="4" t="s">
        <v>2535</v>
      </c>
      <c r="B30" s="4" t="s">
        <v>2536</v>
      </c>
      <c r="C30" s="5" t="s">
        <v>2537</v>
      </c>
      <c r="D30" s="5" t="s">
        <v>2538</v>
      </c>
      <c r="E30" s="5" t="s">
        <v>188</v>
      </c>
      <c r="F30" s="5" t="s">
        <v>2510</v>
      </c>
      <c r="G30" s="5" t="s">
        <v>2539</v>
      </c>
      <c r="H30" s="5" t="s">
        <v>2419</v>
      </c>
    </row>
    <row r="31" spans="1:8" ht="45" customHeight="1" x14ac:dyDescent="0.35">
      <c r="A31" s="2" t="s">
        <v>2540</v>
      </c>
      <c r="B31" s="2" t="s">
        <v>453</v>
      </c>
      <c r="C31" s="3" t="s">
        <v>2541</v>
      </c>
      <c r="D31" s="3" t="s">
        <v>2542</v>
      </c>
      <c r="E31" s="3" t="s">
        <v>2543</v>
      </c>
      <c r="F31" s="3" t="s">
        <v>2544</v>
      </c>
      <c r="G31" s="3" t="s">
        <v>2545</v>
      </c>
      <c r="H31" s="3" t="s">
        <v>2546</v>
      </c>
    </row>
    <row r="32" spans="1:8" ht="45" customHeight="1" x14ac:dyDescent="0.35">
      <c r="A32" s="4" t="s">
        <v>2547</v>
      </c>
      <c r="B32" s="4" t="s">
        <v>2548</v>
      </c>
      <c r="C32" s="5" t="s">
        <v>2549</v>
      </c>
      <c r="D32" s="5" t="s">
        <v>2550</v>
      </c>
      <c r="E32" s="5" t="s">
        <v>2543</v>
      </c>
      <c r="F32" s="5" t="s">
        <v>2510</v>
      </c>
      <c r="G32" s="5" t="s">
        <v>2551</v>
      </c>
      <c r="H32" s="5" t="s">
        <v>2419</v>
      </c>
    </row>
  </sheetData>
  <autoFilter ref="A2:H2" xr:uid="{00000000-0009-0000-0000-000009000000}"/>
  <mergeCells count="1">
    <mergeCell ref="A1:H1"/>
  </mergeCells>
  <pageMargins left="0.75" right="0.75" top="1" bottom="1" header="0.511811023622047" footer="0.511811023622047"/>
  <pageSetup paperSize="9"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ED7D31"/>
  </sheetPr>
  <dimension ref="A1:M65"/>
  <sheetViews>
    <sheetView showGridLines="0" tabSelected="1" zoomScaleNormal="100" workbookViewId="0">
      <pane xSplit="6" ySplit="2" topLeftCell="G3" activePane="bottomRight" state="frozen"/>
      <selection pane="topRight" activeCell="G1" sqref="G1"/>
      <selection pane="bottomLeft" activeCell="A3" sqref="A3"/>
      <selection pane="bottomRight" activeCell="I4" sqref="I4"/>
    </sheetView>
  </sheetViews>
  <sheetFormatPr baseColWidth="10" defaultColWidth="8.6328125" defaultRowHeight="14.5" x14ac:dyDescent="0.35"/>
  <cols>
    <col min="1" max="1" width="15" customWidth="1"/>
    <col min="2" max="3" width="12" customWidth="1"/>
    <col min="4" max="6" width="8" customWidth="1"/>
    <col min="7" max="7" width="55" customWidth="1"/>
    <col min="8" max="8" width="14" customWidth="1"/>
    <col min="9" max="9" width="20" customWidth="1"/>
    <col min="10" max="10" width="35" customWidth="1"/>
    <col min="11" max="13" width="14" customWidth="1"/>
  </cols>
  <sheetData>
    <row r="1" spans="1:13" ht="21.75" customHeight="1" x14ac:dyDescent="0.35">
      <c r="A1" s="38" t="s">
        <v>2552</v>
      </c>
      <c r="B1" s="38"/>
      <c r="C1" s="38"/>
      <c r="D1" s="38"/>
      <c r="E1" s="38"/>
      <c r="F1" s="38"/>
      <c r="G1" s="38"/>
      <c r="H1" s="38"/>
      <c r="I1" s="38"/>
      <c r="J1" s="38"/>
      <c r="K1" s="38"/>
      <c r="L1" s="38"/>
      <c r="M1" s="38"/>
    </row>
    <row r="2" spans="1:13" ht="42.75" customHeight="1" x14ac:dyDescent="0.35">
      <c r="A2" s="1" t="s">
        <v>30</v>
      </c>
      <c r="B2" s="1" t="s">
        <v>33</v>
      </c>
      <c r="C2" s="1" t="s">
        <v>669</v>
      </c>
      <c r="D2" s="1" t="s">
        <v>57</v>
      </c>
      <c r="E2" s="1" t="s">
        <v>59</v>
      </c>
      <c r="F2" s="1" t="s">
        <v>61</v>
      </c>
      <c r="G2" s="1" t="s">
        <v>672</v>
      </c>
      <c r="H2" s="1" t="s">
        <v>2553</v>
      </c>
      <c r="I2" s="1" t="s">
        <v>2554</v>
      </c>
      <c r="J2" s="1" t="s">
        <v>2555</v>
      </c>
      <c r="K2" s="1" t="s">
        <v>2556</v>
      </c>
      <c r="L2" s="1" t="s">
        <v>2557</v>
      </c>
      <c r="M2" s="1" t="s">
        <v>635</v>
      </c>
    </row>
    <row r="3" spans="1:13" ht="37.5" customHeight="1" x14ac:dyDescent="0.35">
      <c r="A3" s="3" t="str">
        <f>ASSESSMENT_METADATA!B3</f>
        <v>JESA-ASSESS-001</v>
      </c>
      <c r="B3" s="3">
        <f>ASSESSMENT_METADATA!B4</f>
        <v>0</v>
      </c>
      <c r="C3" s="2" t="s">
        <v>681</v>
      </c>
      <c r="D3" s="24" t="s">
        <v>69</v>
      </c>
      <c r="E3" s="2" t="s">
        <v>71</v>
      </c>
      <c r="F3" s="2" t="s">
        <v>73</v>
      </c>
      <c r="G3" s="3" t="s">
        <v>2558</v>
      </c>
      <c r="H3" s="35"/>
      <c r="I3" s="3"/>
      <c r="J3" s="3"/>
      <c r="K3" s="8" t="s">
        <v>2559</v>
      </c>
      <c r="L3" s="8" t="s">
        <v>2560</v>
      </c>
      <c r="M3" s="8" t="s">
        <v>2561</v>
      </c>
    </row>
    <row r="4" spans="1:13" ht="37.5" customHeight="1" x14ac:dyDescent="0.35">
      <c r="A4" s="5" t="str">
        <f>ASSESSMENT_METADATA!B3</f>
        <v>JESA-ASSESS-001</v>
      </c>
      <c r="B4" s="5">
        <f>ASSESSMENT_METADATA!B4</f>
        <v>0</v>
      </c>
      <c r="C4" s="4" t="s">
        <v>694</v>
      </c>
      <c r="D4" s="24" t="s">
        <v>69</v>
      </c>
      <c r="E4" s="4" t="s">
        <v>71</v>
      </c>
      <c r="F4" s="4" t="s">
        <v>73</v>
      </c>
      <c r="G4" s="5" t="s">
        <v>1328</v>
      </c>
      <c r="H4" s="35"/>
      <c r="I4" s="5"/>
      <c r="J4" s="5"/>
      <c r="K4" s="8" t="s">
        <v>2559</v>
      </c>
      <c r="L4" s="8" t="s">
        <v>2560</v>
      </c>
      <c r="M4" s="8" t="s">
        <v>2561</v>
      </c>
    </row>
    <row r="5" spans="1:13" ht="37.5" customHeight="1" x14ac:dyDescent="0.35">
      <c r="A5" s="3" t="str">
        <f>ASSESSMENT_METADATA!B3</f>
        <v>JESA-ASSESS-001</v>
      </c>
      <c r="B5" s="3">
        <f>ASSESSMENT_METADATA!B4</f>
        <v>0</v>
      </c>
      <c r="C5" s="2" t="s">
        <v>705</v>
      </c>
      <c r="D5" s="24" t="s">
        <v>69</v>
      </c>
      <c r="E5" s="2" t="s">
        <v>71</v>
      </c>
      <c r="F5" s="2" t="s">
        <v>73</v>
      </c>
      <c r="G5" s="3" t="s">
        <v>1365</v>
      </c>
      <c r="H5" s="35"/>
      <c r="I5" s="3"/>
      <c r="J5" s="3"/>
      <c r="K5" s="8" t="s">
        <v>2559</v>
      </c>
      <c r="L5" s="8" t="s">
        <v>2560</v>
      </c>
      <c r="M5" s="8" t="s">
        <v>2561</v>
      </c>
    </row>
    <row r="6" spans="1:13" ht="37.5" customHeight="1" x14ac:dyDescent="0.35">
      <c r="A6" s="5" t="str">
        <f>ASSESSMENT_METADATA!B3</f>
        <v>JESA-ASSESS-001</v>
      </c>
      <c r="B6" s="5">
        <f>ASSESSMENT_METADATA!B4</f>
        <v>0</v>
      </c>
      <c r="C6" s="4" t="s">
        <v>716</v>
      </c>
      <c r="D6" s="24" t="s">
        <v>69</v>
      </c>
      <c r="E6" s="4" t="s">
        <v>71</v>
      </c>
      <c r="F6" s="4" t="s">
        <v>80</v>
      </c>
      <c r="G6" s="5" t="s">
        <v>1400</v>
      </c>
      <c r="H6" s="35"/>
      <c r="I6" s="5"/>
      <c r="J6" s="5"/>
      <c r="K6" s="8" t="s">
        <v>2559</v>
      </c>
      <c r="L6" s="8" t="s">
        <v>2560</v>
      </c>
      <c r="M6" s="8" t="s">
        <v>2561</v>
      </c>
    </row>
    <row r="7" spans="1:13" ht="37.5" customHeight="1" x14ac:dyDescent="0.35">
      <c r="A7" s="3" t="str">
        <f>ASSESSMENT_METADATA!B3</f>
        <v>JESA-ASSESS-001</v>
      </c>
      <c r="B7" s="3">
        <f>ASSESSMENT_METADATA!B4</f>
        <v>0</v>
      </c>
      <c r="C7" s="2" t="s">
        <v>727</v>
      </c>
      <c r="D7" s="24" t="s">
        <v>69</v>
      </c>
      <c r="E7" s="2" t="s">
        <v>71</v>
      </c>
      <c r="F7" s="2" t="s">
        <v>80</v>
      </c>
      <c r="G7" s="3" t="s">
        <v>1436</v>
      </c>
      <c r="H7" s="35"/>
      <c r="I7" s="3"/>
      <c r="J7" s="3"/>
      <c r="K7" s="8" t="s">
        <v>2559</v>
      </c>
      <c r="L7" s="8" t="s">
        <v>2560</v>
      </c>
      <c r="M7" s="8" t="s">
        <v>2561</v>
      </c>
    </row>
    <row r="8" spans="1:13" ht="37.5" customHeight="1" x14ac:dyDescent="0.35">
      <c r="A8" s="5" t="str">
        <f>ASSESSMENT_METADATA!B3</f>
        <v>JESA-ASSESS-001</v>
      </c>
      <c r="B8" s="5">
        <f>ASSESSMENT_METADATA!B4</f>
        <v>0</v>
      </c>
      <c r="C8" s="4" t="s">
        <v>737</v>
      </c>
      <c r="D8" s="24" t="s">
        <v>69</v>
      </c>
      <c r="E8" s="4" t="s">
        <v>71</v>
      </c>
      <c r="F8" s="4" t="s">
        <v>80</v>
      </c>
      <c r="G8" s="5" t="s">
        <v>2562</v>
      </c>
      <c r="H8" s="35"/>
      <c r="I8" s="5"/>
      <c r="J8" s="5"/>
      <c r="K8" s="8" t="s">
        <v>2559</v>
      </c>
      <c r="L8" s="8" t="s">
        <v>2560</v>
      </c>
      <c r="M8" s="8" t="s">
        <v>2561</v>
      </c>
    </row>
    <row r="9" spans="1:13" ht="37.5" customHeight="1" x14ac:dyDescent="0.35">
      <c r="A9" s="3" t="str">
        <f>ASSESSMENT_METADATA!B3</f>
        <v>JESA-ASSESS-001</v>
      </c>
      <c r="B9" s="3">
        <f>ASSESSMENT_METADATA!B4</f>
        <v>0</v>
      </c>
      <c r="C9" s="2" t="s">
        <v>747</v>
      </c>
      <c r="D9" s="24" t="s">
        <v>69</v>
      </c>
      <c r="E9" s="2" t="s">
        <v>85</v>
      </c>
      <c r="F9" s="2" t="s">
        <v>87</v>
      </c>
      <c r="G9" s="3" t="s">
        <v>1508</v>
      </c>
      <c r="H9" s="35"/>
      <c r="I9" s="3"/>
      <c r="J9" s="3"/>
      <c r="K9" s="8" t="s">
        <v>2559</v>
      </c>
      <c r="L9" s="8" t="s">
        <v>2560</v>
      </c>
      <c r="M9" s="8" t="s">
        <v>2561</v>
      </c>
    </row>
    <row r="10" spans="1:13" ht="37.5" customHeight="1" x14ac:dyDescent="0.35">
      <c r="A10" s="5" t="str">
        <f>ASSESSMENT_METADATA!B3</f>
        <v>JESA-ASSESS-001</v>
      </c>
      <c r="B10" s="5">
        <f>ASSESSMENT_METADATA!B4</f>
        <v>0</v>
      </c>
      <c r="C10" s="4" t="s">
        <v>758</v>
      </c>
      <c r="D10" s="24" t="s">
        <v>69</v>
      </c>
      <c r="E10" s="4" t="s">
        <v>85</v>
      </c>
      <c r="F10" s="4" t="s">
        <v>87</v>
      </c>
      <c r="G10" s="5" t="s">
        <v>1545</v>
      </c>
      <c r="H10" s="35"/>
      <c r="I10" s="5"/>
      <c r="J10" s="5"/>
      <c r="K10" s="8" t="s">
        <v>2559</v>
      </c>
      <c r="L10" s="8" t="s">
        <v>2560</v>
      </c>
      <c r="M10" s="8" t="s">
        <v>2561</v>
      </c>
    </row>
    <row r="11" spans="1:13" ht="37.5" customHeight="1" x14ac:dyDescent="0.35">
      <c r="A11" s="3" t="str">
        <f>ASSESSMENT_METADATA!B3</f>
        <v>JESA-ASSESS-001</v>
      </c>
      <c r="B11" s="3">
        <f>ASSESSMENT_METADATA!B4</f>
        <v>0</v>
      </c>
      <c r="C11" s="2" t="s">
        <v>769</v>
      </c>
      <c r="D11" s="24" t="s">
        <v>69</v>
      </c>
      <c r="E11" s="2" t="s">
        <v>85</v>
      </c>
      <c r="F11" s="2" t="s">
        <v>87</v>
      </c>
      <c r="G11" s="3" t="s">
        <v>1561</v>
      </c>
      <c r="H11" s="35"/>
      <c r="I11" s="3"/>
      <c r="J11" s="3"/>
      <c r="K11" s="8" t="s">
        <v>2559</v>
      </c>
      <c r="L11" s="8" t="s">
        <v>2560</v>
      </c>
      <c r="M11" s="8" t="s">
        <v>2561</v>
      </c>
    </row>
    <row r="12" spans="1:13" ht="37.5" customHeight="1" x14ac:dyDescent="0.35">
      <c r="A12" s="5" t="str">
        <f>ASSESSMENT_METADATA!B3</f>
        <v>JESA-ASSESS-001</v>
      </c>
      <c r="B12" s="5">
        <f>ASSESSMENT_METADATA!B4</f>
        <v>0</v>
      </c>
      <c r="C12" s="4" t="s">
        <v>778</v>
      </c>
      <c r="D12" s="24" t="s">
        <v>69</v>
      </c>
      <c r="E12" s="4" t="s">
        <v>85</v>
      </c>
      <c r="F12" s="4" t="s">
        <v>93</v>
      </c>
      <c r="G12" s="5" t="s">
        <v>1577</v>
      </c>
      <c r="H12" s="35"/>
      <c r="I12" s="5"/>
      <c r="J12" s="5"/>
      <c r="K12" s="8" t="s">
        <v>2559</v>
      </c>
      <c r="L12" s="8" t="s">
        <v>2560</v>
      </c>
      <c r="M12" s="8" t="s">
        <v>2561</v>
      </c>
    </row>
    <row r="13" spans="1:13" ht="37.5" customHeight="1" x14ac:dyDescent="0.35">
      <c r="A13" s="3" t="str">
        <f>ASSESSMENT_METADATA!B3</f>
        <v>JESA-ASSESS-001</v>
      </c>
      <c r="B13" s="3">
        <f>ASSESSMENT_METADATA!B4</f>
        <v>0</v>
      </c>
      <c r="C13" s="2" t="s">
        <v>789</v>
      </c>
      <c r="D13" s="24" t="s">
        <v>69</v>
      </c>
      <c r="E13" s="2" t="s">
        <v>85</v>
      </c>
      <c r="F13" s="2" t="s">
        <v>93</v>
      </c>
      <c r="G13" s="3" t="s">
        <v>1593</v>
      </c>
      <c r="H13" s="35"/>
      <c r="I13" s="3"/>
      <c r="J13" s="3"/>
      <c r="K13" s="8" t="s">
        <v>2559</v>
      </c>
      <c r="L13" s="8" t="s">
        <v>2560</v>
      </c>
      <c r="M13" s="8" t="s">
        <v>2561</v>
      </c>
    </row>
    <row r="14" spans="1:13" ht="37.5" customHeight="1" x14ac:dyDescent="0.35">
      <c r="A14" s="5" t="str">
        <f>ASSESSMENT_METADATA!B3</f>
        <v>JESA-ASSESS-001</v>
      </c>
      <c r="B14" s="5">
        <f>ASSESSMENT_METADATA!B4</f>
        <v>0</v>
      </c>
      <c r="C14" s="4" t="s">
        <v>800</v>
      </c>
      <c r="D14" s="24" t="s">
        <v>69</v>
      </c>
      <c r="E14" s="4" t="s">
        <v>85</v>
      </c>
      <c r="F14" s="4" t="s">
        <v>93</v>
      </c>
      <c r="G14" s="5" t="s">
        <v>2563</v>
      </c>
      <c r="H14" s="35"/>
      <c r="I14" s="5"/>
      <c r="J14" s="5"/>
      <c r="K14" s="8" t="s">
        <v>2559</v>
      </c>
      <c r="L14" s="8" t="s">
        <v>2560</v>
      </c>
      <c r="M14" s="8" t="s">
        <v>2561</v>
      </c>
    </row>
    <row r="15" spans="1:13" ht="37.5" customHeight="1" x14ac:dyDescent="0.35">
      <c r="A15" s="3" t="str">
        <f>ASSESSMENT_METADATA!B3</f>
        <v>JESA-ASSESS-001</v>
      </c>
      <c r="B15" s="3">
        <f>ASSESSMENT_METADATA!B4</f>
        <v>0</v>
      </c>
      <c r="C15" s="2" t="s">
        <v>810</v>
      </c>
      <c r="D15" s="32" t="s">
        <v>98</v>
      </c>
      <c r="E15" s="2" t="s">
        <v>100</v>
      </c>
      <c r="F15" s="2" t="s">
        <v>102</v>
      </c>
      <c r="G15" s="3" t="s">
        <v>2564</v>
      </c>
      <c r="H15" s="35"/>
      <c r="I15" s="3"/>
      <c r="J15" s="3"/>
      <c r="K15" s="8" t="s">
        <v>2559</v>
      </c>
      <c r="L15" s="8" t="s">
        <v>2560</v>
      </c>
      <c r="M15" s="8" t="s">
        <v>2561</v>
      </c>
    </row>
    <row r="16" spans="1:13" ht="37.5" customHeight="1" x14ac:dyDescent="0.35">
      <c r="A16" s="5" t="str">
        <f>ASSESSMENT_METADATA!B3</f>
        <v>JESA-ASSESS-001</v>
      </c>
      <c r="B16" s="5">
        <f>ASSESSMENT_METADATA!B4</f>
        <v>0</v>
      </c>
      <c r="C16" s="4" t="s">
        <v>819</v>
      </c>
      <c r="D16" s="32" t="s">
        <v>98</v>
      </c>
      <c r="E16" s="4" t="s">
        <v>100</v>
      </c>
      <c r="F16" s="4" t="s">
        <v>102</v>
      </c>
      <c r="G16" s="5" t="s">
        <v>2565</v>
      </c>
      <c r="H16" s="35"/>
      <c r="I16" s="5"/>
      <c r="J16" s="5"/>
      <c r="K16" s="8" t="s">
        <v>2559</v>
      </c>
      <c r="L16" s="8" t="s">
        <v>2560</v>
      </c>
      <c r="M16" s="8" t="s">
        <v>2561</v>
      </c>
    </row>
    <row r="17" spans="1:13" ht="37.5" customHeight="1" x14ac:dyDescent="0.35">
      <c r="A17" s="3" t="str">
        <f>ASSESSMENT_METADATA!B3</f>
        <v>JESA-ASSESS-001</v>
      </c>
      <c r="B17" s="3">
        <f>ASSESSMENT_METADATA!B4</f>
        <v>0</v>
      </c>
      <c r="C17" s="2" t="s">
        <v>829</v>
      </c>
      <c r="D17" s="32" t="s">
        <v>98</v>
      </c>
      <c r="E17" s="2" t="s">
        <v>100</v>
      </c>
      <c r="F17" s="2" t="s">
        <v>102</v>
      </c>
      <c r="G17" s="3" t="s">
        <v>2566</v>
      </c>
      <c r="H17" s="35"/>
      <c r="I17" s="3"/>
      <c r="J17" s="3"/>
      <c r="K17" s="8" t="s">
        <v>2559</v>
      </c>
      <c r="L17" s="8" t="s">
        <v>2560</v>
      </c>
      <c r="M17" s="8" t="s">
        <v>2561</v>
      </c>
    </row>
    <row r="18" spans="1:13" ht="37.5" customHeight="1" x14ac:dyDescent="0.35">
      <c r="A18" s="5" t="str">
        <f>ASSESSMENT_METADATA!B3</f>
        <v>JESA-ASSESS-001</v>
      </c>
      <c r="B18" s="5">
        <f>ASSESSMENT_METADATA!B4</f>
        <v>0</v>
      </c>
      <c r="C18" s="4" t="s">
        <v>840</v>
      </c>
      <c r="D18" s="32" t="s">
        <v>98</v>
      </c>
      <c r="E18" s="4" t="s">
        <v>100</v>
      </c>
      <c r="F18" s="4" t="s">
        <v>108</v>
      </c>
      <c r="G18" s="5" t="s">
        <v>2567</v>
      </c>
      <c r="H18" s="35"/>
      <c r="I18" s="5"/>
      <c r="J18" s="5"/>
      <c r="K18" s="8" t="s">
        <v>2559</v>
      </c>
      <c r="L18" s="8" t="s">
        <v>2560</v>
      </c>
      <c r="M18" s="8" t="s">
        <v>2561</v>
      </c>
    </row>
    <row r="19" spans="1:13" ht="37.5" customHeight="1" x14ac:dyDescent="0.35">
      <c r="A19" s="3" t="str">
        <f>ASSESSMENT_METADATA!B3</f>
        <v>JESA-ASSESS-001</v>
      </c>
      <c r="B19" s="3">
        <f>ASSESSMENT_METADATA!B4</f>
        <v>0</v>
      </c>
      <c r="C19" s="2" t="s">
        <v>850</v>
      </c>
      <c r="D19" s="32" t="s">
        <v>98</v>
      </c>
      <c r="E19" s="2" t="s">
        <v>100</v>
      </c>
      <c r="F19" s="2" t="s">
        <v>108</v>
      </c>
      <c r="G19" s="3" t="s">
        <v>2568</v>
      </c>
      <c r="H19" s="35"/>
      <c r="I19" s="3"/>
      <c r="J19" s="3"/>
      <c r="K19" s="8" t="s">
        <v>2559</v>
      </c>
      <c r="L19" s="8" t="s">
        <v>2560</v>
      </c>
      <c r="M19" s="8" t="s">
        <v>2561</v>
      </c>
    </row>
    <row r="20" spans="1:13" ht="37.5" customHeight="1" x14ac:dyDescent="0.35">
      <c r="A20" s="5" t="str">
        <f>ASSESSMENT_METADATA!B3</f>
        <v>JESA-ASSESS-001</v>
      </c>
      <c r="B20" s="5">
        <f>ASSESSMENT_METADATA!B4</f>
        <v>0</v>
      </c>
      <c r="C20" s="4" t="s">
        <v>860</v>
      </c>
      <c r="D20" s="32" t="s">
        <v>98</v>
      </c>
      <c r="E20" s="4" t="s">
        <v>100</v>
      </c>
      <c r="F20" s="4" t="s">
        <v>108</v>
      </c>
      <c r="G20" s="5" t="s">
        <v>2569</v>
      </c>
      <c r="H20" s="35"/>
      <c r="I20" s="5"/>
      <c r="J20" s="5"/>
      <c r="K20" s="8" t="s">
        <v>2559</v>
      </c>
      <c r="L20" s="8" t="s">
        <v>2560</v>
      </c>
      <c r="M20" s="8" t="s">
        <v>2561</v>
      </c>
    </row>
    <row r="21" spans="1:13" ht="37.5" customHeight="1" x14ac:dyDescent="0.35">
      <c r="A21" s="3" t="str">
        <f>ASSESSMENT_METADATA!B3</f>
        <v>JESA-ASSESS-001</v>
      </c>
      <c r="B21" s="3">
        <f>ASSESSMENT_METADATA!B4</f>
        <v>0</v>
      </c>
      <c r="C21" s="2" t="s">
        <v>870</v>
      </c>
      <c r="D21" s="32" t="s">
        <v>98</v>
      </c>
      <c r="E21" s="2" t="s">
        <v>114</v>
      </c>
      <c r="F21" s="2" t="s">
        <v>116</v>
      </c>
      <c r="G21" s="3" t="s">
        <v>2570</v>
      </c>
      <c r="H21" s="35"/>
      <c r="I21" s="3"/>
      <c r="J21" s="3"/>
      <c r="K21" s="8" t="s">
        <v>2559</v>
      </c>
      <c r="L21" s="8" t="s">
        <v>2560</v>
      </c>
      <c r="M21" s="8" t="s">
        <v>2561</v>
      </c>
    </row>
    <row r="22" spans="1:13" ht="37.5" customHeight="1" x14ac:dyDescent="0.35">
      <c r="A22" s="5" t="str">
        <f>ASSESSMENT_METADATA!B3</f>
        <v>JESA-ASSESS-001</v>
      </c>
      <c r="B22" s="5">
        <f>ASSESSMENT_METADATA!B4</f>
        <v>0</v>
      </c>
      <c r="C22" s="4" t="s">
        <v>879</v>
      </c>
      <c r="D22" s="32" t="s">
        <v>98</v>
      </c>
      <c r="E22" s="4" t="s">
        <v>114</v>
      </c>
      <c r="F22" s="4" t="s">
        <v>116</v>
      </c>
      <c r="G22" s="5" t="s">
        <v>2571</v>
      </c>
      <c r="H22" s="35"/>
      <c r="I22" s="5"/>
      <c r="J22" s="5"/>
      <c r="K22" s="8" t="s">
        <v>2559</v>
      </c>
      <c r="L22" s="8" t="s">
        <v>2560</v>
      </c>
      <c r="M22" s="8" t="s">
        <v>2561</v>
      </c>
    </row>
    <row r="23" spans="1:13" ht="37.5" customHeight="1" x14ac:dyDescent="0.35">
      <c r="A23" s="3" t="str">
        <f>ASSESSMENT_METADATA!B3</f>
        <v>JESA-ASSESS-001</v>
      </c>
      <c r="B23" s="3">
        <f>ASSESSMENT_METADATA!B4</f>
        <v>0</v>
      </c>
      <c r="C23" s="2" t="s">
        <v>889</v>
      </c>
      <c r="D23" s="32" t="s">
        <v>98</v>
      </c>
      <c r="E23" s="2" t="s">
        <v>114</v>
      </c>
      <c r="F23" s="2" t="s">
        <v>116</v>
      </c>
      <c r="G23" s="3" t="s">
        <v>2572</v>
      </c>
      <c r="H23" s="35"/>
      <c r="I23" s="3"/>
      <c r="J23" s="3"/>
      <c r="K23" s="8" t="s">
        <v>2559</v>
      </c>
      <c r="L23" s="8" t="s">
        <v>2560</v>
      </c>
      <c r="M23" s="8" t="s">
        <v>2561</v>
      </c>
    </row>
    <row r="24" spans="1:13" ht="37.5" customHeight="1" x14ac:dyDescent="0.35">
      <c r="A24" s="5" t="str">
        <f>ASSESSMENT_METADATA!B3</f>
        <v>JESA-ASSESS-001</v>
      </c>
      <c r="B24" s="5">
        <f>ASSESSMENT_METADATA!B4</f>
        <v>0</v>
      </c>
      <c r="C24" s="4" t="s">
        <v>899</v>
      </c>
      <c r="D24" s="32" t="s">
        <v>98</v>
      </c>
      <c r="E24" s="4" t="s">
        <v>114</v>
      </c>
      <c r="F24" s="4" t="s">
        <v>122</v>
      </c>
      <c r="G24" s="5" t="s">
        <v>2573</v>
      </c>
      <c r="H24" s="35"/>
      <c r="I24" s="5"/>
      <c r="J24" s="5"/>
      <c r="K24" s="8" t="s">
        <v>2559</v>
      </c>
      <c r="L24" s="8" t="s">
        <v>2560</v>
      </c>
      <c r="M24" s="8" t="s">
        <v>2561</v>
      </c>
    </row>
    <row r="25" spans="1:13" ht="37.5" customHeight="1" x14ac:dyDescent="0.35">
      <c r="A25" s="3" t="str">
        <f>ASSESSMENT_METADATA!B3</f>
        <v>JESA-ASSESS-001</v>
      </c>
      <c r="B25" s="3">
        <f>ASSESSMENT_METADATA!B4</f>
        <v>0</v>
      </c>
      <c r="C25" s="2" t="s">
        <v>910</v>
      </c>
      <c r="D25" s="32" t="s">
        <v>98</v>
      </c>
      <c r="E25" s="2" t="s">
        <v>114</v>
      </c>
      <c r="F25" s="2" t="s">
        <v>122</v>
      </c>
      <c r="G25" s="3" t="s">
        <v>2574</v>
      </c>
      <c r="H25" s="35"/>
      <c r="I25" s="3"/>
      <c r="J25" s="3"/>
      <c r="K25" s="8" t="s">
        <v>2559</v>
      </c>
      <c r="L25" s="8" t="s">
        <v>2560</v>
      </c>
      <c r="M25" s="8" t="s">
        <v>2561</v>
      </c>
    </row>
    <row r="26" spans="1:13" ht="37.5" customHeight="1" x14ac:dyDescent="0.35">
      <c r="A26" s="5" t="str">
        <f>ASSESSMENT_METADATA!B3</f>
        <v>JESA-ASSESS-001</v>
      </c>
      <c r="B26" s="5">
        <f>ASSESSMENT_METADATA!B4</f>
        <v>0</v>
      </c>
      <c r="C26" s="4" t="s">
        <v>921</v>
      </c>
      <c r="D26" s="32" t="s">
        <v>98</v>
      </c>
      <c r="E26" s="4" t="s">
        <v>114</v>
      </c>
      <c r="F26" s="4" t="s">
        <v>122</v>
      </c>
      <c r="G26" s="5" t="s">
        <v>2575</v>
      </c>
      <c r="H26" s="35"/>
      <c r="I26" s="5"/>
      <c r="J26" s="5"/>
      <c r="K26" s="8" t="s">
        <v>2559</v>
      </c>
      <c r="L26" s="8" t="s">
        <v>2560</v>
      </c>
      <c r="M26" s="8" t="s">
        <v>2561</v>
      </c>
    </row>
    <row r="27" spans="1:13" ht="37.5" customHeight="1" x14ac:dyDescent="0.35">
      <c r="A27" s="3" t="str">
        <f>ASSESSMENT_METADATA!B3</f>
        <v>JESA-ASSESS-001</v>
      </c>
      <c r="B27" s="3">
        <f>ASSESSMENT_METADATA!B4</f>
        <v>0</v>
      </c>
      <c r="C27" s="2" t="s">
        <v>931</v>
      </c>
      <c r="D27" s="29" t="s">
        <v>127</v>
      </c>
      <c r="E27" s="2" t="s">
        <v>129</v>
      </c>
      <c r="F27" s="2" t="s">
        <v>131</v>
      </c>
      <c r="G27" s="3" t="s">
        <v>1817</v>
      </c>
      <c r="H27" s="35"/>
      <c r="I27" s="3"/>
      <c r="J27" s="3"/>
      <c r="K27" s="8" t="s">
        <v>2559</v>
      </c>
      <c r="L27" s="8" t="s">
        <v>2560</v>
      </c>
      <c r="M27" s="8" t="s">
        <v>2561</v>
      </c>
    </row>
    <row r="28" spans="1:13" ht="37.5" customHeight="1" x14ac:dyDescent="0.35">
      <c r="A28" s="5" t="str">
        <f>ASSESSMENT_METADATA!B3</f>
        <v>JESA-ASSESS-001</v>
      </c>
      <c r="B28" s="5">
        <f>ASSESSMENT_METADATA!B4</f>
        <v>0</v>
      </c>
      <c r="C28" s="4" t="s">
        <v>941</v>
      </c>
      <c r="D28" s="29" t="s">
        <v>127</v>
      </c>
      <c r="E28" s="4" t="s">
        <v>129</v>
      </c>
      <c r="F28" s="4" t="s">
        <v>131</v>
      </c>
      <c r="G28" s="5" t="s">
        <v>2576</v>
      </c>
      <c r="H28" s="35"/>
      <c r="I28" s="5"/>
      <c r="J28" s="5"/>
      <c r="K28" s="8" t="s">
        <v>2559</v>
      </c>
      <c r="L28" s="8" t="s">
        <v>2560</v>
      </c>
      <c r="M28" s="8" t="s">
        <v>2561</v>
      </c>
    </row>
    <row r="29" spans="1:13" ht="37.5" customHeight="1" x14ac:dyDescent="0.35">
      <c r="A29" s="3" t="str">
        <f>ASSESSMENT_METADATA!B3</f>
        <v>JESA-ASSESS-001</v>
      </c>
      <c r="B29" s="3">
        <f>ASSESSMENT_METADATA!B4</f>
        <v>0</v>
      </c>
      <c r="C29" s="2" t="s">
        <v>951</v>
      </c>
      <c r="D29" s="29" t="s">
        <v>127</v>
      </c>
      <c r="E29" s="2" t="s">
        <v>129</v>
      </c>
      <c r="F29" s="2" t="s">
        <v>131</v>
      </c>
      <c r="G29" s="3" t="s">
        <v>1849</v>
      </c>
      <c r="H29" s="35"/>
      <c r="I29" s="3"/>
      <c r="J29" s="3"/>
      <c r="K29" s="8" t="s">
        <v>2559</v>
      </c>
      <c r="L29" s="8" t="s">
        <v>2560</v>
      </c>
      <c r="M29" s="8" t="s">
        <v>2561</v>
      </c>
    </row>
    <row r="30" spans="1:13" ht="37.5" customHeight="1" x14ac:dyDescent="0.35">
      <c r="A30" s="5" t="str">
        <f>ASSESSMENT_METADATA!B3</f>
        <v>JESA-ASSESS-001</v>
      </c>
      <c r="B30" s="5">
        <f>ASSESSMENT_METADATA!B4</f>
        <v>0</v>
      </c>
      <c r="C30" s="4" t="s">
        <v>961</v>
      </c>
      <c r="D30" s="29" t="s">
        <v>127</v>
      </c>
      <c r="E30" s="4" t="s">
        <v>129</v>
      </c>
      <c r="F30" s="4" t="s">
        <v>138</v>
      </c>
      <c r="G30" s="5" t="s">
        <v>1865</v>
      </c>
      <c r="H30" s="35"/>
      <c r="I30" s="5"/>
      <c r="J30" s="5"/>
      <c r="K30" s="8" t="s">
        <v>2559</v>
      </c>
      <c r="L30" s="8" t="s">
        <v>2560</v>
      </c>
      <c r="M30" s="8" t="s">
        <v>2561</v>
      </c>
    </row>
    <row r="31" spans="1:13" ht="37.5" customHeight="1" x14ac:dyDescent="0.35">
      <c r="A31" s="3" t="str">
        <f>ASSESSMENT_METADATA!B3</f>
        <v>JESA-ASSESS-001</v>
      </c>
      <c r="B31" s="3">
        <f>ASSESSMENT_METADATA!B4</f>
        <v>0</v>
      </c>
      <c r="C31" s="2" t="s">
        <v>970</v>
      </c>
      <c r="D31" s="29" t="s">
        <v>127</v>
      </c>
      <c r="E31" s="2" t="s">
        <v>129</v>
      </c>
      <c r="F31" s="2" t="s">
        <v>138</v>
      </c>
      <c r="G31" s="3" t="s">
        <v>2577</v>
      </c>
      <c r="H31" s="35"/>
      <c r="I31" s="3"/>
      <c r="J31" s="3"/>
      <c r="K31" s="8" t="s">
        <v>2559</v>
      </c>
      <c r="L31" s="8" t="s">
        <v>2560</v>
      </c>
      <c r="M31" s="8" t="s">
        <v>2561</v>
      </c>
    </row>
    <row r="32" spans="1:13" ht="37.5" customHeight="1" x14ac:dyDescent="0.35">
      <c r="A32" s="5" t="str">
        <f>ASSESSMENT_METADATA!B3</f>
        <v>JESA-ASSESS-001</v>
      </c>
      <c r="B32" s="5">
        <f>ASSESSMENT_METADATA!B4</f>
        <v>0</v>
      </c>
      <c r="C32" s="4" t="s">
        <v>978</v>
      </c>
      <c r="D32" s="29" t="s">
        <v>127</v>
      </c>
      <c r="E32" s="4" t="s">
        <v>129</v>
      </c>
      <c r="F32" s="4" t="s">
        <v>138</v>
      </c>
      <c r="G32" s="5" t="s">
        <v>2578</v>
      </c>
      <c r="H32" s="35"/>
      <c r="I32" s="5"/>
      <c r="J32" s="5"/>
      <c r="K32" s="8" t="s">
        <v>2559</v>
      </c>
      <c r="L32" s="8" t="s">
        <v>2560</v>
      </c>
      <c r="M32" s="8" t="s">
        <v>2561</v>
      </c>
    </row>
    <row r="33" spans="1:13" ht="37.5" customHeight="1" x14ac:dyDescent="0.35">
      <c r="A33" s="3" t="str">
        <f>ASSESSMENT_METADATA!B3</f>
        <v>JESA-ASSESS-001</v>
      </c>
      <c r="B33" s="3">
        <f>ASSESSMENT_METADATA!B4</f>
        <v>0</v>
      </c>
      <c r="C33" s="2" t="s">
        <v>988</v>
      </c>
      <c r="D33" s="29" t="s">
        <v>127</v>
      </c>
      <c r="E33" s="2" t="s">
        <v>144</v>
      </c>
      <c r="F33" s="2" t="s">
        <v>146</v>
      </c>
      <c r="G33" s="3" t="s">
        <v>2579</v>
      </c>
      <c r="H33" s="35"/>
      <c r="I33" s="3"/>
      <c r="J33" s="3"/>
      <c r="K33" s="8" t="s">
        <v>2559</v>
      </c>
      <c r="L33" s="8" t="s">
        <v>2560</v>
      </c>
      <c r="M33" s="8" t="s">
        <v>2561</v>
      </c>
    </row>
    <row r="34" spans="1:13" ht="37.5" customHeight="1" x14ac:dyDescent="0.35">
      <c r="A34" s="5" t="str">
        <f>ASSESSMENT_METADATA!B3</f>
        <v>JESA-ASSESS-001</v>
      </c>
      <c r="B34" s="5">
        <f>ASSESSMENT_METADATA!B4</f>
        <v>0</v>
      </c>
      <c r="C34" s="4" t="s">
        <v>999</v>
      </c>
      <c r="D34" s="29" t="s">
        <v>127</v>
      </c>
      <c r="E34" s="4" t="s">
        <v>144</v>
      </c>
      <c r="F34" s="4" t="s">
        <v>146</v>
      </c>
      <c r="G34" s="5" t="s">
        <v>2580</v>
      </c>
      <c r="H34" s="35"/>
      <c r="I34" s="5"/>
      <c r="J34" s="5"/>
      <c r="K34" s="8" t="s">
        <v>2559</v>
      </c>
      <c r="L34" s="8" t="s">
        <v>2560</v>
      </c>
      <c r="M34" s="8" t="s">
        <v>2561</v>
      </c>
    </row>
    <row r="35" spans="1:13" ht="37.5" customHeight="1" x14ac:dyDescent="0.35">
      <c r="A35" s="3" t="str">
        <f>ASSESSMENT_METADATA!B3</f>
        <v>JESA-ASSESS-001</v>
      </c>
      <c r="B35" s="3">
        <f>ASSESSMENT_METADATA!B4</f>
        <v>0</v>
      </c>
      <c r="C35" s="2" t="s">
        <v>1008</v>
      </c>
      <c r="D35" s="29" t="s">
        <v>127</v>
      </c>
      <c r="E35" s="2" t="s">
        <v>144</v>
      </c>
      <c r="F35" s="2" t="s">
        <v>146</v>
      </c>
      <c r="G35" s="3" t="s">
        <v>1945</v>
      </c>
      <c r="H35" s="35"/>
      <c r="I35" s="3"/>
      <c r="J35" s="3"/>
      <c r="K35" s="8" t="s">
        <v>2559</v>
      </c>
      <c r="L35" s="8" t="s">
        <v>2560</v>
      </c>
      <c r="M35" s="8" t="s">
        <v>2561</v>
      </c>
    </row>
    <row r="36" spans="1:13" ht="37.5" customHeight="1" x14ac:dyDescent="0.35">
      <c r="A36" s="5" t="str">
        <f>ASSESSMENT_METADATA!B3</f>
        <v>JESA-ASSESS-001</v>
      </c>
      <c r="B36" s="5">
        <f>ASSESSMENT_METADATA!B4</f>
        <v>0</v>
      </c>
      <c r="C36" s="4" t="s">
        <v>1018</v>
      </c>
      <c r="D36" s="29" t="s">
        <v>127</v>
      </c>
      <c r="E36" s="4" t="s">
        <v>144</v>
      </c>
      <c r="F36" s="4" t="s">
        <v>152</v>
      </c>
      <c r="G36" s="5" t="s">
        <v>2581</v>
      </c>
      <c r="H36" s="35"/>
      <c r="I36" s="5"/>
      <c r="J36" s="5"/>
      <c r="K36" s="8" t="s">
        <v>2559</v>
      </c>
      <c r="L36" s="8" t="s">
        <v>2560</v>
      </c>
      <c r="M36" s="8" t="s">
        <v>2561</v>
      </c>
    </row>
    <row r="37" spans="1:13" ht="37.5" customHeight="1" x14ac:dyDescent="0.35">
      <c r="A37" s="3" t="str">
        <f>ASSESSMENT_METADATA!B3</f>
        <v>JESA-ASSESS-001</v>
      </c>
      <c r="B37" s="3">
        <f>ASSESSMENT_METADATA!B4</f>
        <v>0</v>
      </c>
      <c r="C37" s="2" t="s">
        <v>1027</v>
      </c>
      <c r="D37" s="29" t="s">
        <v>127</v>
      </c>
      <c r="E37" s="2" t="s">
        <v>144</v>
      </c>
      <c r="F37" s="2" t="s">
        <v>152</v>
      </c>
      <c r="G37" s="3" t="s">
        <v>2582</v>
      </c>
      <c r="H37" s="35"/>
      <c r="I37" s="3"/>
      <c r="J37" s="3"/>
      <c r="K37" s="8" t="s">
        <v>2559</v>
      </c>
      <c r="L37" s="8" t="s">
        <v>2560</v>
      </c>
      <c r="M37" s="8" t="s">
        <v>2561</v>
      </c>
    </row>
    <row r="38" spans="1:13" ht="37.5" customHeight="1" x14ac:dyDescent="0.35">
      <c r="A38" s="5" t="str">
        <f>ASSESSMENT_METADATA!B3</f>
        <v>JESA-ASSESS-001</v>
      </c>
      <c r="B38" s="5">
        <f>ASSESSMENT_METADATA!B4</f>
        <v>0</v>
      </c>
      <c r="C38" s="4" t="s">
        <v>1037</v>
      </c>
      <c r="D38" s="29" t="s">
        <v>127</v>
      </c>
      <c r="E38" s="4" t="s">
        <v>144</v>
      </c>
      <c r="F38" s="4" t="s">
        <v>152</v>
      </c>
      <c r="G38" s="5" t="s">
        <v>2583</v>
      </c>
      <c r="H38" s="35"/>
      <c r="I38" s="5"/>
      <c r="J38" s="5"/>
      <c r="K38" s="8" t="s">
        <v>2559</v>
      </c>
      <c r="L38" s="8" t="s">
        <v>2560</v>
      </c>
      <c r="M38" s="8" t="s">
        <v>2561</v>
      </c>
    </row>
    <row r="39" spans="1:13" ht="37.5" customHeight="1" x14ac:dyDescent="0.35">
      <c r="A39" s="3" t="str">
        <f>ASSESSMENT_METADATA!B3</f>
        <v>JESA-ASSESS-001</v>
      </c>
      <c r="B39" s="3">
        <f>ASSESSMENT_METADATA!B4</f>
        <v>0</v>
      </c>
      <c r="C39" s="2" t="s">
        <v>1048</v>
      </c>
      <c r="D39" s="33" t="s">
        <v>158</v>
      </c>
      <c r="E39" s="2" t="s">
        <v>160</v>
      </c>
      <c r="F39" s="2" t="s">
        <v>162</v>
      </c>
      <c r="G39" s="3" t="s">
        <v>2009</v>
      </c>
      <c r="H39" s="35"/>
      <c r="I39" s="3"/>
      <c r="J39" s="3"/>
      <c r="K39" s="8" t="s">
        <v>2559</v>
      </c>
      <c r="L39" s="8" t="s">
        <v>2560</v>
      </c>
      <c r="M39" s="8" t="s">
        <v>2561</v>
      </c>
    </row>
    <row r="40" spans="1:13" ht="37.5" customHeight="1" x14ac:dyDescent="0.35">
      <c r="A40" s="5" t="str">
        <f>ASSESSMENT_METADATA!B3</f>
        <v>JESA-ASSESS-001</v>
      </c>
      <c r="B40" s="5">
        <f>ASSESSMENT_METADATA!B4</f>
        <v>0</v>
      </c>
      <c r="C40" s="4" t="s">
        <v>1059</v>
      </c>
      <c r="D40" s="33" t="s">
        <v>158</v>
      </c>
      <c r="E40" s="4" t="s">
        <v>160</v>
      </c>
      <c r="F40" s="4" t="s">
        <v>162</v>
      </c>
      <c r="G40" s="5" t="s">
        <v>2584</v>
      </c>
      <c r="H40" s="35"/>
      <c r="I40" s="5"/>
      <c r="J40" s="5"/>
      <c r="K40" s="8" t="s">
        <v>2559</v>
      </c>
      <c r="L40" s="8" t="s">
        <v>2560</v>
      </c>
      <c r="M40" s="8" t="s">
        <v>2561</v>
      </c>
    </row>
    <row r="41" spans="1:13" ht="37.5" customHeight="1" x14ac:dyDescent="0.35">
      <c r="A41" s="3" t="str">
        <f>ASSESSMENT_METADATA!B3</f>
        <v>JESA-ASSESS-001</v>
      </c>
      <c r="B41" s="3">
        <f>ASSESSMENT_METADATA!B4</f>
        <v>0</v>
      </c>
      <c r="C41" s="2" t="s">
        <v>1069</v>
      </c>
      <c r="D41" s="33" t="s">
        <v>158</v>
      </c>
      <c r="E41" s="2" t="s">
        <v>160</v>
      </c>
      <c r="F41" s="2" t="s">
        <v>162</v>
      </c>
      <c r="G41" s="3" t="s">
        <v>2041</v>
      </c>
      <c r="H41" s="35"/>
      <c r="I41" s="3"/>
      <c r="J41" s="3"/>
      <c r="K41" s="8" t="s">
        <v>2559</v>
      </c>
      <c r="L41" s="8" t="s">
        <v>2560</v>
      </c>
      <c r="M41" s="8" t="s">
        <v>2561</v>
      </c>
    </row>
    <row r="42" spans="1:13" ht="37.5" customHeight="1" x14ac:dyDescent="0.35">
      <c r="A42" s="5" t="str">
        <f>ASSESSMENT_METADATA!B3</f>
        <v>JESA-ASSESS-001</v>
      </c>
      <c r="B42" s="5">
        <f>ASSESSMENT_METADATA!B4</f>
        <v>0</v>
      </c>
      <c r="C42" s="4" t="s">
        <v>1080</v>
      </c>
      <c r="D42" s="33" t="s">
        <v>158</v>
      </c>
      <c r="E42" s="4" t="s">
        <v>160</v>
      </c>
      <c r="F42" s="4" t="s">
        <v>168</v>
      </c>
      <c r="G42" s="5" t="s">
        <v>2585</v>
      </c>
      <c r="H42" s="35"/>
      <c r="I42" s="5"/>
      <c r="J42" s="5"/>
      <c r="K42" s="8" t="s">
        <v>2559</v>
      </c>
      <c r="L42" s="8" t="s">
        <v>2560</v>
      </c>
      <c r="M42" s="8" t="s">
        <v>2561</v>
      </c>
    </row>
    <row r="43" spans="1:13" ht="37.5" customHeight="1" x14ac:dyDescent="0.35">
      <c r="A43" s="3" t="str">
        <f>ASSESSMENT_METADATA!B3</f>
        <v>JESA-ASSESS-001</v>
      </c>
      <c r="B43" s="3">
        <f>ASSESSMENT_METADATA!B4</f>
        <v>0</v>
      </c>
      <c r="C43" s="2" t="s">
        <v>1089</v>
      </c>
      <c r="D43" s="33" t="s">
        <v>158</v>
      </c>
      <c r="E43" s="2" t="s">
        <v>160</v>
      </c>
      <c r="F43" s="2" t="s">
        <v>168</v>
      </c>
      <c r="G43" s="3" t="s">
        <v>2073</v>
      </c>
      <c r="H43" s="35"/>
      <c r="I43" s="3"/>
      <c r="J43" s="3"/>
      <c r="K43" s="8" t="s">
        <v>2559</v>
      </c>
      <c r="L43" s="8" t="s">
        <v>2560</v>
      </c>
      <c r="M43" s="8" t="s">
        <v>2561</v>
      </c>
    </row>
    <row r="44" spans="1:13" ht="37.5" customHeight="1" x14ac:dyDescent="0.35">
      <c r="A44" s="5" t="str">
        <f>ASSESSMENT_METADATA!B3</f>
        <v>JESA-ASSESS-001</v>
      </c>
      <c r="B44" s="5">
        <f>ASSESSMENT_METADATA!B4</f>
        <v>0</v>
      </c>
      <c r="C44" s="4" t="s">
        <v>1100</v>
      </c>
      <c r="D44" s="33" t="s">
        <v>158</v>
      </c>
      <c r="E44" s="4" t="s">
        <v>160</v>
      </c>
      <c r="F44" s="4" t="s">
        <v>168</v>
      </c>
      <c r="G44" s="5" t="s">
        <v>2089</v>
      </c>
      <c r="H44" s="35"/>
      <c r="I44" s="5"/>
      <c r="J44" s="5"/>
      <c r="K44" s="8" t="s">
        <v>2559</v>
      </c>
      <c r="L44" s="8" t="s">
        <v>2560</v>
      </c>
      <c r="M44" s="8" t="s">
        <v>2561</v>
      </c>
    </row>
    <row r="45" spans="1:13" ht="37.5" customHeight="1" x14ac:dyDescent="0.35">
      <c r="A45" s="3" t="str">
        <f>ASSESSMENT_METADATA!B3</f>
        <v>JESA-ASSESS-001</v>
      </c>
      <c r="B45" s="3">
        <f>ASSESSMENT_METADATA!B4</f>
        <v>0</v>
      </c>
      <c r="C45" s="2" t="s">
        <v>1109</v>
      </c>
      <c r="D45" s="33" t="s">
        <v>158</v>
      </c>
      <c r="E45" s="2" t="s">
        <v>173</v>
      </c>
      <c r="F45" s="2" t="s">
        <v>175</v>
      </c>
      <c r="G45" s="3" t="s">
        <v>2105</v>
      </c>
      <c r="H45" s="35"/>
      <c r="I45" s="3"/>
      <c r="J45" s="3"/>
      <c r="K45" s="8" t="s">
        <v>2559</v>
      </c>
      <c r="L45" s="8" t="s">
        <v>2560</v>
      </c>
      <c r="M45" s="8" t="s">
        <v>2561</v>
      </c>
    </row>
    <row r="46" spans="1:13" ht="37.5" customHeight="1" x14ac:dyDescent="0.35">
      <c r="A46" s="5" t="str">
        <f>ASSESSMENT_METADATA!B3</f>
        <v>JESA-ASSESS-001</v>
      </c>
      <c r="B46" s="5">
        <f>ASSESSMENT_METADATA!B4</f>
        <v>0</v>
      </c>
      <c r="C46" s="4" t="s">
        <v>1119</v>
      </c>
      <c r="D46" s="33" t="s">
        <v>158</v>
      </c>
      <c r="E46" s="4" t="s">
        <v>173</v>
      </c>
      <c r="F46" s="4" t="s">
        <v>175</v>
      </c>
      <c r="G46" s="5" t="s">
        <v>2586</v>
      </c>
      <c r="H46" s="35"/>
      <c r="I46" s="5"/>
      <c r="J46" s="5"/>
      <c r="K46" s="8" t="s">
        <v>2559</v>
      </c>
      <c r="L46" s="8" t="s">
        <v>2560</v>
      </c>
      <c r="M46" s="8" t="s">
        <v>2561</v>
      </c>
    </row>
    <row r="47" spans="1:13" ht="37.5" customHeight="1" x14ac:dyDescent="0.35">
      <c r="A47" s="3" t="str">
        <f>ASSESSMENT_METADATA!B3</f>
        <v>JESA-ASSESS-001</v>
      </c>
      <c r="B47" s="3">
        <f>ASSESSMENT_METADATA!B4</f>
        <v>0</v>
      </c>
      <c r="C47" s="2" t="s">
        <v>1129</v>
      </c>
      <c r="D47" s="33" t="s">
        <v>158</v>
      </c>
      <c r="E47" s="2" t="s">
        <v>173</v>
      </c>
      <c r="F47" s="2" t="s">
        <v>175</v>
      </c>
      <c r="G47" s="3" t="s">
        <v>2135</v>
      </c>
      <c r="H47" s="35"/>
      <c r="I47" s="3"/>
      <c r="J47" s="3"/>
      <c r="K47" s="8" t="s">
        <v>2559</v>
      </c>
      <c r="L47" s="8" t="s">
        <v>2560</v>
      </c>
      <c r="M47" s="8" t="s">
        <v>2561</v>
      </c>
    </row>
    <row r="48" spans="1:13" ht="37.5" customHeight="1" x14ac:dyDescent="0.35">
      <c r="A48" s="5" t="str">
        <f>ASSESSMENT_METADATA!B3</f>
        <v>JESA-ASSESS-001</v>
      </c>
      <c r="B48" s="5">
        <f>ASSESSMENT_METADATA!B4</f>
        <v>0</v>
      </c>
      <c r="C48" s="4" t="s">
        <v>1138</v>
      </c>
      <c r="D48" s="33" t="s">
        <v>158</v>
      </c>
      <c r="E48" s="4" t="s">
        <v>173</v>
      </c>
      <c r="F48" s="4" t="s">
        <v>181</v>
      </c>
      <c r="G48" s="5" t="s">
        <v>2587</v>
      </c>
      <c r="H48" s="35"/>
      <c r="I48" s="5"/>
      <c r="J48" s="5"/>
      <c r="K48" s="8" t="s">
        <v>2559</v>
      </c>
      <c r="L48" s="8" t="s">
        <v>2560</v>
      </c>
      <c r="M48" s="8" t="s">
        <v>2561</v>
      </c>
    </row>
    <row r="49" spans="1:13" ht="37.5" customHeight="1" x14ac:dyDescent="0.35">
      <c r="A49" s="3" t="str">
        <f>ASSESSMENT_METADATA!B3</f>
        <v>JESA-ASSESS-001</v>
      </c>
      <c r="B49" s="3">
        <f>ASSESSMENT_METADATA!B4</f>
        <v>0</v>
      </c>
      <c r="C49" s="2" t="s">
        <v>1148</v>
      </c>
      <c r="D49" s="33" t="s">
        <v>158</v>
      </c>
      <c r="E49" s="2" t="s">
        <v>173</v>
      </c>
      <c r="F49" s="2" t="s">
        <v>181</v>
      </c>
      <c r="G49" s="3" t="s">
        <v>2167</v>
      </c>
      <c r="H49" s="35"/>
      <c r="I49" s="3"/>
      <c r="J49" s="3"/>
      <c r="K49" s="8" t="s">
        <v>2559</v>
      </c>
      <c r="L49" s="8" t="s">
        <v>2560</v>
      </c>
      <c r="M49" s="8" t="s">
        <v>2561</v>
      </c>
    </row>
    <row r="50" spans="1:13" ht="37.5" customHeight="1" x14ac:dyDescent="0.35">
      <c r="A50" s="5" t="str">
        <f>ASSESSMENT_METADATA!B3</f>
        <v>JESA-ASSESS-001</v>
      </c>
      <c r="B50" s="5">
        <f>ASSESSMENT_METADATA!B4</f>
        <v>0</v>
      </c>
      <c r="C50" s="4" t="s">
        <v>1158</v>
      </c>
      <c r="D50" s="33" t="s">
        <v>158</v>
      </c>
      <c r="E50" s="4" t="s">
        <v>173</v>
      </c>
      <c r="F50" s="4" t="s">
        <v>181</v>
      </c>
      <c r="G50" s="5" t="s">
        <v>2588</v>
      </c>
      <c r="H50" s="35"/>
      <c r="I50" s="5"/>
      <c r="J50" s="5"/>
      <c r="K50" s="8" t="s">
        <v>2559</v>
      </c>
      <c r="L50" s="8" t="s">
        <v>2560</v>
      </c>
      <c r="M50" s="8" t="s">
        <v>2561</v>
      </c>
    </row>
    <row r="51" spans="1:13" ht="37.5" customHeight="1" x14ac:dyDescent="0.35">
      <c r="A51" s="3" t="str">
        <f>ASSESSMENT_METADATA!B3</f>
        <v>JESA-ASSESS-001</v>
      </c>
      <c r="B51" s="3">
        <f>ASSESSMENT_METADATA!B4</f>
        <v>0</v>
      </c>
      <c r="C51" s="2" t="s">
        <v>1167</v>
      </c>
      <c r="D51" s="34" t="s">
        <v>186</v>
      </c>
      <c r="E51" s="2" t="s">
        <v>188</v>
      </c>
      <c r="F51" s="2" t="s">
        <v>190</v>
      </c>
      <c r="G51" s="3" t="s">
        <v>2589</v>
      </c>
      <c r="H51" s="35"/>
      <c r="I51" s="3"/>
      <c r="J51" s="3"/>
      <c r="K51" s="8" t="s">
        <v>2559</v>
      </c>
      <c r="L51" s="8" t="s">
        <v>2560</v>
      </c>
      <c r="M51" s="8" t="s">
        <v>2561</v>
      </c>
    </row>
    <row r="52" spans="1:13" ht="37.5" customHeight="1" x14ac:dyDescent="0.35">
      <c r="A52" s="5" t="str">
        <f>ASSESSMENT_METADATA!B3</f>
        <v>JESA-ASSESS-001</v>
      </c>
      <c r="B52" s="5">
        <f>ASSESSMENT_METADATA!B4</f>
        <v>0</v>
      </c>
      <c r="C52" s="4" t="s">
        <v>1175</v>
      </c>
      <c r="D52" s="34" t="s">
        <v>186</v>
      </c>
      <c r="E52" s="4" t="s">
        <v>188</v>
      </c>
      <c r="F52" s="4" t="s">
        <v>190</v>
      </c>
      <c r="G52" s="5" t="s">
        <v>2215</v>
      </c>
      <c r="H52" s="35"/>
      <c r="I52" s="5"/>
      <c r="J52" s="5"/>
      <c r="K52" s="8" t="s">
        <v>2559</v>
      </c>
      <c r="L52" s="8" t="s">
        <v>2560</v>
      </c>
      <c r="M52" s="8" t="s">
        <v>2561</v>
      </c>
    </row>
    <row r="53" spans="1:13" ht="37.5" customHeight="1" x14ac:dyDescent="0.35">
      <c r="A53" s="3" t="str">
        <f>ASSESSMENT_METADATA!B3</f>
        <v>JESA-ASSESS-001</v>
      </c>
      <c r="B53" s="3">
        <f>ASSESSMENT_METADATA!B4</f>
        <v>0</v>
      </c>
      <c r="C53" s="2" t="s">
        <v>1185</v>
      </c>
      <c r="D53" s="34" t="s">
        <v>186</v>
      </c>
      <c r="E53" s="2" t="s">
        <v>188</v>
      </c>
      <c r="F53" s="2" t="s">
        <v>190</v>
      </c>
      <c r="G53" s="3" t="s">
        <v>2590</v>
      </c>
      <c r="H53" s="35"/>
      <c r="I53" s="3"/>
      <c r="J53" s="3"/>
      <c r="K53" s="8" t="s">
        <v>2559</v>
      </c>
      <c r="L53" s="8" t="s">
        <v>2560</v>
      </c>
      <c r="M53" s="8" t="s">
        <v>2561</v>
      </c>
    </row>
    <row r="54" spans="1:13" ht="37.5" customHeight="1" x14ac:dyDescent="0.35">
      <c r="A54" s="5" t="str">
        <f>ASSESSMENT_METADATA!B3</f>
        <v>JESA-ASSESS-001</v>
      </c>
      <c r="B54" s="5">
        <f>ASSESSMENT_METADATA!B4</f>
        <v>0</v>
      </c>
      <c r="C54" s="4" t="s">
        <v>1195</v>
      </c>
      <c r="D54" s="34" t="s">
        <v>186</v>
      </c>
      <c r="E54" s="4" t="s">
        <v>188</v>
      </c>
      <c r="F54" s="4" t="s">
        <v>196</v>
      </c>
      <c r="G54" s="5" t="s">
        <v>2247</v>
      </c>
      <c r="H54" s="35"/>
      <c r="I54" s="5"/>
      <c r="J54" s="5"/>
      <c r="K54" s="8" t="s">
        <v>2559</v>
      </c>
      <c r="L54" s="8" t="s">
        <v>2560</v>
      </c>
      <c r="M54" s="8" t="s">
        <v>2561</v>
      </c>
    </row>
    <row r="55" spans="1:13" ht="37.5" customHeight="1" x14ac:dyDescent="0.35">
      <c r="A55" s="3" t="str">
        <f>ASSESSMENT_METADATA!B3</f>
        <v>JESA-ASSESS-001</v>
      </c>
      <c r="B55" s="3">
        <f>ASSESSMENT_METADATA!B4</f>
        <v>0</v>
      </c>
      <c r="C55" s="2" t="s">
        <v>1205</v>
      </c>
      <c r="D55" s="34" t="s">
        <v>186</v>
      </c>
      <c r="E55" s="2" t="s">
        <v>188</v>
      </c>
      <c r="F55" s="2" t="s">
        <v>196</v>
      </c>
      <c r="G55" s="3" t="s">
        <v>2591</v>
      </c>
      <c r="H55" s="35"/>
      <c r="I55" s="3"/>
      <c r="J55" s="3"/>
      <c r="K55" s="8" t="s">
        <v>2559</v>
      </c>
      <c r="L55" s="8" t="s">
        <v>2560</v>
      </c>
      <c r="M55" s="8" t="s">
        <v>2561</v>
      </c>
    </row>
    <row r="56" spans="1:13" ht="37.5" customHeight="1" x14ac:dyDescent="0.35">
      <c r="A56" s="5" t="str">
        <f>ASSESSMENT_METADATA!B3</f>
        <v>JESA-ASSESS-001</v>
      </c>
      <c r="B56" s="5">
        <f>ASSESSMENT_METADATA!B4</f>
        <v>0</v>
      </c>
      <c r="C56" s="4" t="s">
        <v>1215</v>
      </c>
      <c r="D56" s="34" t="s">
        <v>186</v>
      </c>
      <c r="E56" s="4" t="s">
        <v>188</v>
      </c>
      <c r="F56" s="4" t="s">
        <v>196</v>
      </c>
      <c r="G56" s="5" t="s">
        <v>2279</v>
      </c>
      <c r="H56" s="35"/>
      <c r="I56" s="5"/>
      <c r="J56" s="5"/>
      <c r="K56" s="8" t="s">
        <v>2559</v>
      </c>
      <c r="L56" s="8" t="s">
        <v>2560</v>
      </c>
      <c r="M56" s="8" t="s">
        <v>2561</v>
      </c>
    </row>
    <row r="57" spans="1:13" ht="37.5" customHeight="1" x14ac:dyDescent="0.35">
      <c r="A57" s="3" t="str">
        <f>ASSESSMENT_METADATA!B3</f>
        <v>JESA-ASSESS-001</v>
      </c>
      <c r="B57" s="3">
        <f>ASSESSMENT_METADATA!B4</f>
        <v>0</v>
      </c>
      <c r="C57" s="2" t="s">
        <v>1225</v>
      </c>
      <c r="D57" s="34" t="s">
        <v>186</v>
      </c>
      <c r="E57" s="2" t="s">
        <v>202</v>
      </c>
      <c r="F57" s="2" t="s">
        <v>204</v>
      </c>
      <c r="G57" s="3" t="s">
        <v>2295</v>
      </c>
      <c r="H57" s="35"/>
      <c r="I57" s="3"/>
      <c r="J57" s="3"/>
      <c r="K57" s="8" t="s">
        <v>2559</v>
      </c>
      <c r="L57" s="8" t="s">
        <v>2560</v>
      </c>
      <c r="M57" s="8" t="s">
        <v>2561</v>
      </c>
    </row>
    <row r="58" spans="1:13" ht="37.5" customHeight="1" x14ac:dyDescent="0.35">
      <c r="A58" s="5" t="str">
        <f>ASSESSMENT_METADATA!B3</f>
        <v>JESA-ASSESS-001</v>
      </c>
      <c r="B58" s="5">
        <f>ASSESSMENT_METADATA!B4</f>
        <v>0</v>
      </c>
      <c r="C58" s="4" t="s">
        <v>1235</v>
      </c>
      <c r="D58" s="34" t="s">
        <v>186</v>
      </c>
      <c r="E58" s="4" t="s">
        <v>202</v>
      </c>
      <c r="F58" s="4" t="s">
        <v>204</v>
      </c>
      <c r="G58" s="5" t="s">
        <v>2592</v>
      </c>
      <c r="H58" s="35"/>
      <c r="I58" s="5"/>
      <c r="J58" s="5"/>
      <c r="K58" s="8" t="s">
        <v>2559</v>
      </c>
      <c r="L58" s="8" t="s">
        <v>2560</v>
      </c>
      <c r="M58" s="8" t="s">
        <v>2561</v>
      </c>
    </row>
    <row r="59" spans="1:13" ht="37.5" customHeight="1" x14ac:dyDescent="0.35">
      <c r="A59" s="3" t="str">
        <f>ASSESSMENT_METADATA!B3</f>
        <v>JESA-ASSESS-001</v>
      </c>
      <c r="B59" s="3">
        <f>ASSESSMENT_METADATA!B4</f>
        <v>0</v>
      </c>
      <c r="C59" s="2" t="s">
        <v>1245</v>
      </c>
      <c r="D59" s="34" t="s">
        <v>186</v>
      </c>
      <c r="E59" s="2" t="s">
        <v>202</v>
      </c>
      <c r="F59" s="2" t="s">
        <v>204</v>
      </c>
      <c r="G59" s="3" t="s">
        <v>2327</v>
      </c>
      <c r="H59" s="35"/>
      <c r="I59" s="3"/>
      <c r="J59" s="3"/>
      <c r="K59" s="8" t="s">
        <v>2559</v>
      </c>
      <c r="L59" s="8" t="s">
        <v>2560</v>
      </c>
      <c r="M59" s="8" t="s">
        <v>2561</v>
      </c>
    </row>
    <row r="60" spans="1:13" ht="37.5" customHeight="1" x14ac:dyDescent="0.35">
      <c r="A60" s="5" t="str">
        <f>ASSESSMENT_METADATA!B3</f>
        <v>JESA-ASSESS-001</v>
      </c>
      <c r="B60" s="5">
        <f>ASSESSMENT_METADATA!B4</f>
        <v>0</v>
      </c>
      <c r="C60" s="4" t="s">
        <v>1254</v>
      </c>
      <c r="D60" s="34" t="s">
        <v>186</v>
      </c>
      <c r="E60" s="4" t="s">
        <v>202</v>
      </c>
      <c r="F60" s="4" t="s">
        <v>210</v>
      </c>
      <c r="G60" s="5" t="s">
        <v>2593</v>
      </c>
      <c r="H60" s="35"/>
      <c r="I60" s="5"/>
      <c r="J60" s="5"/>
      <c r="K60" s="8" t="s">
        <v>2559</v>
      </c>
      <c r="L60" s="8" t="s">
        <v>2560</v>
      </c>
      <c r="M60" s="8" t="s">
        <v>2561</v>
      </c>
    </row>
    <row r="61" spans="1:13" ht="37.5" customHeight="1" x14ac:dyDescent="0.35">
      <c r="A61" s="3" t="str">
        <f>ASSESSMENT_METADATA!B3</f>
        <v>JESA-ASSESS-001</v>
      </c>
      <c r="B61" s="3">
        <f>ASSESSMENT_METADATA!B4</f>
        <v>0</v>
      </c>
      <c r="C61" s="2" t="s">
        <v>1264</v>
      </c>
      <c r="D61" s="34" t="s">
        <v>186</v>
      </c>
      <c r="E61" s="2" t="s">
        <v>202</v>
      </c>
      <c r="F61" s="2" t="s">
        <v>210</v>
      </c>
      <c r="G61" s="3" t="s">
        <v>2359</v>
      </c>
      <c r="H61" s="35"/>
      <c r="I61" s="3"/>
      <c r="J61" s="3"/>
      <c r="K61" s="8" t="s">
        <v>2559</v>
      </c>
      <c r="L61" s="8" t="s">
        <v>2560</v>
      </c>
      <c r="M61" s="8" t="s">
        <v>2561</v>
      </c>
    </row>
    <row r="62" spans="1:13" ht="37.5" customHeight="1" x14ac:dyDescent="0.35">
      <c r="A62" s="5" t="str">
        <f>ASSESSMENT_METADATA!B3</f>
        <v>JESA-ASSESS-001</v>
      </c>
      <c r="B62" s="5">
        <f>ASSESSMENT_METADATA!B4</f>
        <v>0</v>
      </c>
      <c r="C62" s="4" t="s">
        <v>1274</v>
      </c>
      <c r="D62" s="34" t="s">
        <v>186</v>
      </c>
      <c r="E62" s="4" t="s">
        <v>202</v>
      </c>
      <c r="F62" s="4" t="s">
        <v>210</v>
      </c>
      <c r="G62" s="5" t="s">
        <v>2375</v>
      </c>
      <c r="H62" s="35"/>
      <c r="I62" s="5"/>
      <c r="J62" s="5"/>
      <c r="K62" s="8" t="s">
        <v>2559</v>
      </c>
      <c r="L62" s="8" t="s">
        <v>2560</v>
      </c>
      <c r="M62" s="8" t="s">
        <v>2561</v>
      </c>
    </row>
    <row r="65" spans="1:13" ht="15" customHeight="1" x14ac:dyDescent="0.35">
      <c r="A65" s="41" t="s">
        <v>2594</v>
      </c>
      <c r="B65" s="41"/>
      <c r="C65" s="41"/>
      <c r="D65" s="41"/>
      <c r="E65" s="41"/>
      <c r="F65" s="41"/>
      <c r="G65" s="41"/>
      <c r="H65" s="41"/>
      <c r="I65" s="41"/>
      <c r="J65" s="41"/>
      <c r="K65" s="41"/>
      <c r="L65" s="41"/>
      <c r="M65" s="41"/>
    </row>
  </sheetData>
  <autoFilter ref="A2:M2" xr:uid="{00000000-0009-0000-0000-00000A000000}"/>
  <mergeCells count="2">
    <mergeCell ref="A1:M1"/>
    <mergeCell ref="A65:M65"/>
  </mergeCells>
  <dataValidations count="4">
    <dataValidation type="list" allowBlank="1" showErrorMessage="1" errorTitle="Score invalide" error="Entrer un score entre 0 et 5" sqref="H3:H62" xr:uid="{00000000-0002-0000-0A00-000000000000}">
      <formula1>"0,1,2,3,4,5"</formula1>
      <formula2>0</formula2>
    </dataValidation>
    <dataValidation type="list" allowBlank="1" sqref="K3:K62" xr:uid="{00000000-0002-0000-0A00-000001000000}">
      <formula1>"Faible,Moyen,Élevé"</formula1>
      <formula2>0</formula2>
    </dataValidation>
    <dataValidation type="list" allowBlank="1" sqref="L3:L62" xr:uid="{00000000-0002-0000-0A00-000002000000}">
      <formula1>"Applicable,Non applicable"</formula1>
      <formula2>0</formula2>
    </dataValidation>
    <dataValidation type="list" allowBlank="1" sqref="M3:M62" xr:uid="{00000000-0002-0000-0A00-000003000000}">
      <formula1>"Brouillon,Vérifié,Validé"</formula1>
      <formula2>0</formula2>
    </dataValidation>
  </dataValidations>
  <pageMargins left="0.75" right="0.75" top="1" bottom="1" header="0.511811023622047" footer="0.511811023622047"/>
  <pageSetup paperSize="9"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4E79"/>
  </sheetPr>
  <dimension ref="A1:B8"/>
  <sheetViews>
    <sheetView showGridLines="0" zoomScale="69" zoomScaleNormal="100" workbookViewId="0">
      <selection activeCell="D6" sqref="D6"/>
    </sheetView>
  </sheetViews>
  <sheetFormatPr baseColWidth="10" defaultColWidth="8.6328125" defaultRowHeight="14.5" x14ac:dyDescent="0.35"/>
  <cols>
    <col min="1" max="1" width="28" customWidth="1"/>
    <col min="2" max="2" width="110" customWidth="1"/>
  </cols>
  <sheetData>
    <row r="1" spans="1:2" ht="21.75" customHeight="1" x14ac:dyDescent="0.35">
      <c r="A1" s="38" t="s">
        <v>2595</v>
      </c>
      <c r="B1" s="38"/>
    </row>
    <row r="3" spans="1:2" ht="18" customHeight="1" x14ac:dyDescent="0.35">
      <c r="A3" s="43" t="s">
        <v>2596</v>
      </c>
      <c r="B3" s="43"/>
    </row>
    <row r="4" spans="1:2" ht="45.75" customHeight="1" x14ac:dyDescent="0.35">
      <c r="A4" s="25" t="s">
        <v>2597</v>
      </c>
      <c r="B4" s="3" t="s">
        <v>2598</v>
      </c>
    </row>
    <row r="5" spans="1:2" ht="18" customHeight="1" x14ac:dyDescent="0.35">
      <c r="A5" s="42" t="s">
        <v>2608</v>
      </c>
      <c r="B5" s="42"/>
    </row>
    <row r="6" spans="1:2" ht="60" customHeight="1" x14ac:dyDescent="0.35">
      <c r="A6" s="25" t="s">
        <v>2599</v>
      </c>
      <c r="B6" s="3" t="s">
        <v>2600</v>
      </c>
    </row>
    <row r="7" spans="1:2" ht="45.75" customHeight="1" x14ac:dyDescent="0.35">
      <c r="A7" s="25" t="s">
        <v>2601</v>
      </c>
      <c r="B7" s="3" t="s">
        <v>2602</v>
      </c>
    </row>
    <row r="8" spans="1:2" ht="45.75" customHeight="1" x14ac:dyDescent="0.35">
      <c r="A8" s="25" t="s">
        <v>2603</v>
      </c>
      <c r="B8" s="3" t="s">
        <v>2604</v>
      </c>
    </row>
  </sheetData>
  <mergeCells count="3">
    <mergeCell ref="A5:B5"/>
    <mergeCell ref="A1:B1"/>
    <mergeCell ref="A3:B3"/>
  </mergeCells>
  <pageMargins left="0.75" right="0.75" top="1" bottom="1" header="0.511811023622047" footer="0.511811023622047"/>
  <pageSetup paperSize="9"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Feuilles de calcul</vt:lpstr>
      </vt:variant>
      <vt:variant>
        <vt:i4>12</vt:i4>
      </vt:variant>
      <vt:variant>
        <vt:lpstr>Plages nommées</vt:lpstr>
      </vt:variant>
      <vt:variant>
        <vt:i4>12</vt:i4>
      </vt:variant>
    </vt:vector>
  </HeadingPairs>
  <TitlesOfParts>
    <vt:vector size="24" baseType="lpstr">
      <vt:lpstr>README</vt:lpstr>
      <vt:lpstr>ASSESSMENT_METADATA</vt:lpstr>
      <vt:lpstr>HIERARCHY</vt:lpstr>
      <vt:lpstr>GENERIC_MATURITY_SCALE</vt:lpstr>
      <vt:lpstr>DIMENSION_MATURITY_MATRICES</vt:lpstr>
      <vt:lpstr>TARGET_LEVELS</vt:lpstr>
      <vt:lpstr>WEIGHTS_CONFIGURATION</vt:lpstr>
      <vt:lpstr>INDICATORS</vt:lpstr>
      <vt:lpstr>INDICATOR_SCORING_GRIDS</vt:lpstr>
      <vt:lpstr>EVIDENCE_CATALOG</vt:lpstr>
      <vt:lpstr>QUESTIONNAIRE_TEMPLATE</vt:lpstr>
      <vt:lpstr>CALCULATION_RULES</vt:lpstr>
      <vt:lpstr>ASSESSMENT_METADATA!Impression_des_titres</vt:lpstr>
      <vt:lpstr>CALCULATION_RULES!Impression_des_titres</vt:lpstr>
      <vt:lpstr>DIMENSION_MATURITY_MATRICES!Impression_des_titres</vt:lpstr>
      <vt:lpstr>EVIDENCE_CATALOG!Impression_des_titres</vt:lpstr>
      <vt:lpstr>GENERIC_MATURITY_SCALE!Impression_des_titres</vt:lpstr>
      <vt:lpstr>HIERARCHY!Impression_des_titres</vt:lpstr>
      <vt:lpstr>INDICATOR_SCORING_GRIDS!Impression_des_titres</vt:lpstr>
      <vt:lpstr>INDICATORS!Impression_des_titres</vt:lpstr>
      <vt:lpstr>QUESTIONNAIRE_TEMPLATE!Impression_des_titres</vt:lpstr>
      <vt:lpstr>README!Impression_des_titres</vt:lpstr>
      <vt:lpstr>TARGET_LEVELS!Impression_des_titres</vt:lpstr>
      <vt:lpstr>WEIGHTS_CONFIGURATION!Impression_des_titres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REFERENTIEL_GRILLES_MATURITE_DIGITALE_JESA</dc:title>
  <dc:subject>Référentiel évaluation maturité digitale industrielle JESA</dc:subject>
  <dc:creator>JESA Assessment Engine</dc:creator>
  <cp:keywords>maturité digitale OT/IT industrie JESA DMI</cp:keywords>
  <dc:description>5 piliers, 10 dimensions, 20 sous-dimensions, 60 indicateurs. Version 1.0.0 - Chapitre 4 PFA JESA.</dc:description>
  <cp:lastModifiedBy>IGOURZAL Fatima-Ezzahrae</cp:lastModifiedBy>
  <cp:revision>0</cp:revision>
  <dcterms:created xsi:type="dcterms:W3CDTF">2026-08-04T02:09:34Z</dcterms:created>
  <dcterms:modified xsi:type="dcterms:W3CDTF">2026-08-12T00:08:50Z</dcterms:modified>
  <dc:language>en-US</dc:language>
</cp:coreProperties>
</file>